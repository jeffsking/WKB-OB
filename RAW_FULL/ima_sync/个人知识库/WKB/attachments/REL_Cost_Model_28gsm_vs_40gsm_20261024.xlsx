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kimberlyclark-my.sharepoint.com/personal/rui_wang_kcc_com/Documents/Documents/R&amp;D/Project/COCO-v6/REL/"/>
    </mc:Choice>
  </mc:AlternateContent>
  <xr:revisionPtr revIDLastSave="58" documentId="8_{ABE07432-5C98-4264-A7B4-9FA644CC0FAD}" xr6:coauthVersionLast="47" xr6:coauthVersionMax="47" xr10:uidLastSave="{7CE63A5F-F02F-4A86-BA4D-D52E1FD912FB}"/>
  <bookViews>
    <workbookView xWindow="-28920" yWindow="-120" windowWidth="29040" windowHeight="15720" xr2:uid="{00000000-000D-0000-FFFF-FFFF00000000}"/>
  </bookViews>
  <sheets>
    <sheet name="Model" sheetId="1" r:id="rId1"/>
    <sheet name="Compare" sheetId="2" r:id="rId2"/>
    <sheet name="Sensitivity" sheetId="3" r:id="rId3"/>
    <sheet name="Assumptions" sheetId="4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" i="2" l="1"/>
  <c r="R6" i="2"/>
  <c r="D28" i="1"/>
  <c r="I11" i="2"/>
  <c r="I7" i="2"/>
  <c r="I8" i="2"/>
  <c r="I9" i="2"/>
  <c r="I10" i="2"/>
  <c r="F11" i="2"/>
  <c r="B32" i="1" l="1"/>
  <c r="B34" i="1" s="1"/>
  <c r="D11" i="2"/>
  <c r="B11" i="2"/>
  <c r="E10" i="2"/>
  <c r="D10" i="2"/>
  <c r="E9" i="2"/>
  <c r="D9" i="2"/>
  <c r="E8" i="2"/>
  <c r="F8" i="2" s="1"/>
  <c r="O8" i="2" s="1"/>
  <c r="D8" i="2"/>
  <c r="E7" i="2"/>
  <c r="D7" i="2"/>
  <c r="B6" i="2"/>
  <c r="E6" i="2" s="1"/>
  <c r="B5" i="2"/>
  <c r="E5" i="2" s="1"/>
  <c r="B47" i="1"/>
  <c r="H34" i="3" s="1"/>
  <c r="B44" i="1"/>
  <c r="C32" i="1"/>
  <c r="C34" i="1" s="1"/>
  <c r="C25" i="1"/>
  <c r="D25" i="1" s="1"/>
  <c r="C24" i="1"/>
  <c r="D24" i="1" s="1"/>
  <c r="C23" i="1"/>
  <c r="D23" i="1" s="1"/>
  <c r="C22" i="1"/>
  <c r="C21" i="1"/>
  <c r="D21" i="1" s="1"/>
  <c r="B6" i="3" l="1"/>
  <c r="H9" i="3"/>
  <c r="B10" i="3"/>
  <c r="H17" i="3"/>
  <c r="B18" i="3"/>
  <c r="H21" i="3"/>
  <c r="H29" i="3"/>
  <c r="B22" i="3"/>
  <c r="B30" i="3"/>
  <c r="F22" i="3"/>
  <c r="D11" i="3"/>
  <c r="D23" i="3"/>
  <c r="E7" i="3"/>
  <c r="E11" i="3"/>
  <c r="E19" i="3"/>
  <c r="E23" i="3"/>
  <c r="F31" i="3"/>
  <c r="F10" i="3"/>
  <c r="C23" i="3"/>
  <c r="D7" i="3"/>
  <c r="D19" i="3"/>
  <c r="E31" i="3"/>
  <c r="F7" i="2"/>
  <c r="O7" i="2" s="1"/>
  <c r="E11" i="2"/>
  <c r="F7" i="3"/>
  <c r="F11" i="3"/>
  <c r="F19" i="3"/>
  <c r="F23" i="3"/>
  <c r="H31" i="3"/>
  <c r="H7" i="3"/>
  <c r="H11" i="3"/>
  <c r="H23" i="3"/>
  <c r="B32" i="3"/>
  <c r="C31" i="3"/>
  <c r="D31" i="3"/>
  <c r="H19" i="3"/>
  <c r="B8" i="3"/>
  <c r="B12" i="3"/>
  <c r="B20" i="3"/>
  <c r="B28" i="3"/>
  <c r="F33" i="3"/>
  <c r="C19" i="3"/>
  <c r="F8" i="3"/>
  <c r="F12" i="3"/>
  <c r="F20" i="3"/>
  <c r="F28" i="3"/>
  <c r="H33" i="3"/>
  <c r="C9" i="3"/>
  <c r="C17" i="3"/>
  <c r="C21" i="3"/>
  <c r="C29" i="3"/>
  <c r="F6" i="3"/>
  <c r="C11" i="3"/>
  <c r="F10" i="2"/>
  <c r="O10" i="2" s="1"/>
  <c r="D9" i="3"/>
  <c r="D17" i="3"/>
  <c r="D21" i="3"/>
  <c r="D29" i="3"/>
  <c r="F18" i="3"/>
  <c r="E9" i="3"/>
  <c r="E17" i="3"/>
  <c r="E21" i="3"/>
  <c r="E29" i="3"/>
  <c r="C7" i="3"/>
  <c r="F9" i="3"/>
  <c r="F17" i="3"/>
  <c r="F21" i="3"/>
  <c r="F29" i="3"/>
  <c r="D22" i="1"/>
  <c r="D26" i="1" s="1"/>
  <c r="F9" i="2"/>
  <c r="O9" i="2" s="1"/>
  <c r="H8" i="2"/>
  <c r="G8" i="2"/>
  <c r="B7" i="3"/>
  <c r="B9" i="3"/>
  <c r="B11" i="3"/>
  <c r="B17" i="3"/>
  <c r="B19" i="3"/>
  <c r="B21" i="3"/>
  <c r="B23" i="3"/>
  <c r="B29" i="3"/>
  <c r="B31" i="3"/>
  <c r="B33" i="3"/>
  <c r="B26" i="1"/>
  <c r="C33" i="3"/>
  <c r="D33" i="3"/>
  <c r="E33" i="3"/>
  <c r="G7" i="3"/>
  <c r="G9" i="3"/>
  <c r="G11" i="3"/>
  <c r="G17" i="3"/>
  <c r="G19" i="3"/>
  <c r="G21" i="3"/>
  <c r="G23" i="3"/>
  <c r="G29" i="3"/>
  <c r="G31" i="3"/>
  <c r="G33" i="3"/>
  <c r="B34" i="3"/>
  <c r="C6" i="3"/>
  <c r="C8" i="3"/>
  <c r="C10" i="3"/>
  <c r="C12" i="3"/>
  <c r="C18" i="3"/>
  <c r="C20" i="3"/>
  <c r="C22" i="3"/>
  <c r="C28" i="3"/>
  <c r="C30" i="3"/>
  <c r="C32" i="3"/>
  <c r="C34" i="3"/>
  <c r="D6" i="3"/>
  <c r="D8" i="3"/>
  <c r="D10" i="3"/>
  <c r="D12" i="3"/>
  <c r="D18" i="3"/>
  <c r="D20" i="3"/>
  <c r="D22" i="3"/>
  <c r="D28" i="3"/>
  <c r="D30" i="3"/>
  <c r="D32" i="3"/>
  <c r="D34" i="3"/>
  <c r="E6" i="3"/>
  <c r="E8" i="3"/>
  <c r="E10" i="3"/>
  <c r="E12" i="3"/>
  <c r="E18" i="3"/>
  <c r="E20" i="3"/>
  <c r="E22" i="3"/>
  <c r="E28" i="3"/>
  <c r="E30" i="3"/>
  <c r="E32" i="3"/>
  <c r="E34" i="3"/>
  <c r="F30" i="3"/>
  <c r="F32" i="3"/>
  <c r="F34" i="3"/>
  <c r="G6" i="3"/>
  <c r="G8" i="3"/>
  <c r="G10" i="3"/>
  <c r="G12" i="3"/>
  <c r="G18" i="3"/>
  <c r="G20" i="3"/>
  <c r="G22" i="3"/>
  <c r="G28" i="3"/>
  <c r="G30" i="3"/>
  <c r="G32" i="3"/>
  <c r="G34" i="3"/>
  <c r="H6" i="3"/>
  <c r="H8" i="3"/>
  <c r="H10" i="3"/>
  <c r="H12" i="3"/>
  <c r="H18" i="3"/>
  <c r="H20" i="3"/>
  <c r="H22" i="3"/>
  <c r="H28" i="3"/>
  <c r="H30" i="3"/>
  <c r="H32" i="3"/>
  <c r="H10" i="2" l="1"/>
  <c r="H9" i="2"/>
  <c r="G9" i="2"/>
  <c r="G10" i="2"/>
  <c r="G7" i="2"/>
  <c r="G11" i="2" s="1"/>
  <c r="H7" i="2"/>
  <c r="C6" i="2"/>
  <c r="C5" i="2"/>
  <c r="C33" i="1"/>
  <c r="C35" i="1" s="1"/>
  <c r="C36" i="1" s="1"/>
  <c r="C38" i="1" s="1"/>
  <c r="B33" i="1"/>
  <c r="B35" i="1" s="1"/>
  <c r="B41" i="1"/>
  <c r="B42" i="1" s="1"/>
  <c r="B36" i="1"/>
  <c r="B38" i="1" s="1"/>
  <c r="B43" i="1"/>
  <c r="B37" i="1"/>
  <c r="C37" i="1" l="1"/>
  <c r="D6" i="2"/>
  <c r="F6" i="2" s="1"/>
  <c r="I6" i="2"/>
  <c r="D5" i="2"/>
  <c r="F5" i="2" s="1"/>
  <c r="I5" i="2"/>
  <c r="K5" i="2" s="1"/>
  <c r="G5" i="2"/>
  <c r="O5" i="2" l="1"/>
  <c r="R5" i="2" s="1"/>
  <c r="H5" i="2"/>
  <c r="O6" i="2"/>
  <c r="G6" i="2"/>
  <c r="H6" i="2"/>
</calcChain>
</file>

<file path=xl/sharedStrings.xml><?xml version="1.0" encoding="utf-8"?>
<sst xmlns="http://schemas.openxmlformats.org/spreadsheetml/2006/main" count="176" uniqueCount="129">
  <si>
    <t>REL 成本模型 · 28gsm vs 40gsm 传统 REL</t>
  </si>
  <si>
    <t>版本 2026-10-23 ｜ 依据恒碳 PTT/PET 成本交底（千吨级 20,000–21,000 元/t）｜ 蓝色单元格可改，其余自动重算</t>
  </si>
  <si>
    <t>① 输入参数（蓝色 = 可改）</t>
  </si>
  <si>
    <t>参数</t>
  </si>
  <si>
    <t>数值</t>
  </si>
  <si>
    <t>单位</t>
  </si>
  <si>
    <t>说明 / 来源</t>
  </si>
  <si>
    <t>PTT/PET S/S 纤维价</t>
  </si>
  <si>
    <t>元/t</t>
  </si>
  <si>
    <t>设计克重</t>
  </si>
  <si>
    <t>gsm</t>
  </si>
  <si>
    <t>图纸 / 标称克重</t>
  </si>
  <si>
    <t>实际成网克重</t>
  </si>
  <si>
    <t>回缩后实测（会议：28-29 → 33）</t>
  </si>
  <si>
    <t>PTT 添加比例</t>
  </si>
  <si>
    <t>%</t>
  </si>
  <si>
    <t>ES CoPET/PET 2D 单价</t>
  </si>
  <si>
    <t>ES CoPET/PET 3D 单价</t>
  </si>
  <si>
    <t>同上</t>
  </si>
  <si>
    <t>PVA 6D 单价</t>
  </si>
  <si>
    <t>加工费</t>
  </si>
  <si>
    <t>单片面积</t>
  </si>
  <si>
    <t>m²</t>
  </si>
  <si>
    <t>约 100×380mm，可按实际改</t>
  </si>
  <si>
    <t>年产量</t>
  </si>
  <si>
    <t>亿片</t>
  </si>
  <si>
    <t>用于年度金额测算</t>
  </si>
  <si>
    <t>传统 40gsm 基准全成本</t>
  </si>
  <si>
    <t>元/m²</t>
  </si>
  <si>
    <t>4 条竞品基线均值（见 Compare 页）</t>
  </si>
  <si>
    <t>② 配方与吨成本（非 PTT 组分按 34:8:30:6 归一化）</t>
  </si>
  <si>
    <t>占比</t>
  </si>
  <si>
    <t>单价 元/t</t>
  </si>
  <si>
    <t>摊入 元/t</t>
  </si>
  <si>
    <t>ES CoPET/PET 2D</t>
  </si>
  <si>
    <t>ES CoPET/PET 3D</t>
  </si>
  <si>
    <t>偏心中空 ES</t>
  </si>
  <si>
    <t>PVA 水不溶 6D</t>
  </si>
  <si>
    <t>PTT/PET S/S 7D</t>
  </si>
  <si>
    <t>配方成本合计</t>
  </si>
  <si>
    <t>③ 单位成本测算</t>
  </si>
  <si>
    <t>项目</t>
  </si>
  <si>
    <t>实际成网</t>
  </si>
  <si>
    <t>克重</t>
  </si>
  <si>
    <t>纤维成本 / m²</t>
  </si>
  <si>
    <t>加工成本 / m²</t>
  </si>
  <si>
    <t>全成本 / m²</t>
  </si>
  <si>
    <t>元 / 片</t>
  </si>
  <si>
    <t>元/片</t>
  </si>
  <si>
    <t>vs 传统 40gsm</t>
  </si>
  <si>
    <t>年度总成本</t>
  </si>
  <si>
    <t>万元/年</t>
  </si>
  <si>
    <t>④ 关键判断</t>
  </si>
  <si>
    <t>临界克重（与基准打平）</t>
  </si>
  <si>
    <t>实际克重超出临界</t>
  </si>
  <si>
    <t>成本结论</t>
  </si>
  <si>
    <t>每降 1,000 元/t 纤维价</t>
  </si>
  <si>
    <t>辅助：非 PTT 组分加权单价 元/t</t>
  </si>
  <si>
    <t>28gsm 新 REL vs 40gsm 传统 REL · 方案对比</t>
  </si>
  <si>
    <t>新 REL 数据实时引用 Model 页；传统基线为竞品实测配方（PET 短纤 9,100、PE/PP 9,300、Lyocell 22,000）</t>
  </si>
  <si>
    <t>方案</t>
  </si>
  <si>
    <t>克重 gsm</t>
  </si>
  <si>
    <t>配方 元/t</t>
  </si>
  <si>
    <t>纤维 元/m²</t>
  </si>
  <si>
    <t>加工 元/m²</t>
  </si>
  <si>
    <t>全成本 元/m²</t>
  </si>
  <si>
    <t>vs 传统均值</t>
  </si>
  <si>
    <t>新 REL · 设计克重</t>
  </si>
  <si>
    <t>新 REL · 实际成网</t>
  </si>
  <si>
    <t>B1 · YJ DL24C</t>
  </si>
  <si>
    <t>B2 · DY ND055</t>
  </si>
  <si>
    <t>B3 · ZB 箱式</t>
  </si>
  <si>
    <t>B4 · 藤东</t>
  </si>
  <si>
    <t>传统基线均值</t>
  </si>
  <si>
    <t>读数：设计克重下 28.8gsm 优于传统均值；一旦回缩到 33gsm，克重优势被配方溢价吃掉，成本反超。临界克重见 Model!B39。</t>
  </si>
  <si>
    <t>敏感度矩阵 · 全成本 元/m²</t>
  </si>
  <si>
    <t>绿色=低于 40gsm 传统均值 ｜ 红色=高于 ｜ 由 Model 页参数驱动</t>
  </si>
  <si>
    <t>表 1 ｜ 纤维价（横）× 克重（纵）</t>
  </si>
  <si>
    <t>克重 \ 纤维价</t>
  </si>
  <si>
    <t>表 2 ｜ PTT 比例（横）× 克重（纵）</t>
  </si>
  <si>
    <t>克重 \ PTT%</t>
  </si>
  <si>
    <t>表 3 ｜ 相对传统均值年度金额差（万元/年，正=多花，按 1 亿片/年）</t>
  </si>
  <si>
    <t>价格假设与口径说明</t>
  </si>
  <si>
    <t>所有价格为含税到厂口径；标注【待核】项在定稿前需供应商书面确认</t>
  </si>
  <si>
    <t>来源 / 说明</t>
  </si>
  <si>
    <t>PTT/PET S/S 纤维</t>
  </si>
  <si>
    <t>恒碳千吨级交底 20,000–21,000；26,000 系小样价不适用</t>
  </si>
  <si>
    <t xml:space="preserve">  └ 价格拆解</t>
  </si>
  <si>
    <t>—</t>
  </si>
  <si>
    <t>PTT 18,000×50% + PET 8,600×50% + 纺丝 4,000 + 成品率 94–95% + 运输 400 + 溢价 1,500–2,500</t>
  </si>
  <si>
    <t>PTT 切片（1,500t 口径）</t>
  </si>
  <si>
    <t>会议口径；油价回落至 5,500 时可至 17,000</t>
  </si>
  <si>
    <t>PTA</t>
  </si>
  <si>
    <t>会议口径，高油价时期价格</t>
  </si>
  <si>
    <t>PET 纤维级半光切片</t>
  </si>
  <si>
    <t>10/15 华东主流商谈 8,500–8,800，自提</t>
  </si>
  <si>
    <t>PET 单组分短纤</t>
  </si>
  <si>
    <t>10/16 直纺基准 8,930；10/19 品牌 9,250–9,400</t>
  </si>
  <si>
    <t>ES CoPET/PET 2D/3D</t>
  </si>
  <si>
    <t>卫材级复合短纤，江南高纤均价折算</t>
  </si>
  <si>
    <t>【待核】原生中空 7D 10,100–10,200 + ES 皮芯溢价</t>
  </si>
  <si>
    <t>皖维高新报价</t>
  </si>
  <si>
    <t>加工费（ATB）</t>
  </si>
  <si>
    <t>热风粘合 + 分切，含能耗与人工</t>
  </si>
  <si>
    <t>复合纺丝费（双组份）</t>
  </si>
  <si>
    <t>会议口径「4,000 多元」，普通短纤仅 900–1,000</t>
  </si>
  <si>
    <t>成品率</t>
  </si>
  <si>
    <t>94–95%</t>
  </si>
  <si>
    <t>会议口径</t>
  </si>
  <si>
    <t>约 100×380mm，按实际规格调整</t>
  </si>
  <si>
    <t>用于年度金额换算</t>
  </si>
  <si>
    <t>Code A 实测；标称 28gsm</t>
  </si>
  <si>
    <t>会议：布 28–29gsm 到工厂回缩至 33gsm</t>
  </si>
  <si>
    <t>22%</t>
  </si>
  <si>
    <t>会议确认，10–30% 合理；超 30% 骨感差</t>
  </si>
  <si>
    <t>传统 40gsm 均值</t>
  </si>
  <si>
    <t>YJ/DY/ZB/藤东 四基线，PET 短纤按 9,100 计</t>
  </si>
  <si>
    <t>未含项：3–5% 工艺损耗、分切废料、打样摊销、关税与认证（ISCC 等）单独费用。</t>
  </si>
  <si>
    <t>Cost/t</t>
    <phoneticPr fontId="14" type="noConversion"/>
  </si>
  <si>
    <t>中空 ES 单价</t>
    <phoneticPr fontId="14" type="noConversion"/>
  </si>
  <si>
    <t>热风粘合 + 分切 (常规品类锦琪昶可能会高10%暂时没有包括在内)</t>
    <phoneticPr fontId="14" type="noConversion"/>
  </si>
  <si>
    <t>恒碳千吨级 20,000–21,000，取中值，已考虑量产，试验样品报价26,000</t>
    <phoneticPr fontId="14" type="noConversion"/>
  </si>
  <si>
    <t>依据工程设计，合理区间 10%–30%</t>
    <phoneticPr fontId="14" type="noConversion"/>
  </si>
  <si>
    <t>草案，以实际采购价格为准</t>
    <phoneticPr fontId="14" type="noConversion"/>
  </si>
  <si>
    <t>皖维高新预估价，以实际采购价格为准</t>
    <phoneticPr fontId="14" type="noConversion"/>
  </si>
  <si>
    <t>/</t>
    <phoneticPr fontId="14" type="noConversion"/>
  </si>
  <si>
    <t>Sum</t>
    <phoneticPr fontId="14" type="noConversion"/>
  </si>
  <si>
    <t>成本构成</t>
    <phoneticPr fontId="14" type="noConversion"/>
  </si>
  <si>
    <t>中空 ES 4D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</si>
</sst>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"/>
    <numFmt numFmtId="177" formatCode="0.0%"/>
    <numFmt numFmtId="178" formatCode="0.000"/>
    <numFmt numFmtId="179" formatCode="0.0000"/>
    <numFmt numFmtId="180" formatCode="\+0.0;\-0.0"/>
  </numFmts>
  <fonts count="15">
    <font>
      <sz val="11"/>
      <color theme="1"/>
      <name val="宋体"/>
      <family val="2"/>
      <scheme val="minor"/>
    </font>
    <font>
      <b/>
      <sz val="16"/>
      <color rgb="FFD4AF37"/>
      <name val="微软雅黑"/>
    </font>
    <font>
      <sz val="9"/>
      <color rgb="FFFFFFFF"/>
      <name val="微软雅黑"/>
    </font>
    <font>
      <b/>
      <sz val="11"/>
      <color rgb="FFFFFFFF"/>
      <name val="微软雅黑"/>
    </font>
    <font>
      <b/>
      <sz val="9"/>
      <color rgb="FFFFFFFF"/>
      <name val="微软雅黑"/>
    </font>
    <font>
      <sz val="9"/>
      <color rgb="FF000000"/>
      <name val="微软雅黑"/>
    </font>
    <font>
      <b/>
      <sz val="9"/>
      <color rgb="FF1F4E79"/>
      <name val="微软雅黑"/>
    </font>
    <font>
      <sz val="8"/>
      <color rgb="FF000000"/>
      <name val="微软雅黑"/>
    </font>
    <font>
      <b/>
      <sz val="9"/>
      <color rgb="FF000000"/>
      <name val="微软雅黑"/>
    </font>
    <font>
      <b/>
      <sz val="10"/>
      <color rgb="FF000000"/>
      <name val="微软雅黑"/>
    </font>
    <font>
      <b/>
      <sz val="9"/>
      <color rgb="FFC00000"/>
      <name val="微软雅黑"/>
    </font>
    <font>
      <sz val="8"/>
      <color rgb="FF595959"/>
      <name val="微软雅黑"/>
    </font>
    <font>
      <b/>
      <sz val="10"/>
      <color rgb="FF1F4E79"/>
      <name val="微软雅黑"/>
    </font>
    <font>
      <sz val="8"/>
      <color rgb="FFC00000"/>
      <name val="微软雅黑"/>
    </font>
    <font>
      <sz val="9"/>
      <name val="宋体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B1220"/>
      </patternFill>
    </fill>
    <fill>
      <patternFill patternType="solid">
        <fgColor rgb="FF141C2E"/>
      </patternFill>
    </fill>
    <fill>
      <patternFill patternType="solid">
        <fgColor rgb="FF1F4E79"/>
      </patternFill>
    </fill>
    <fill>
      <patternFill patternType="solid">
        <fgColor rgb="FF595959"/>
      </patternFill>
    </fill>
    <fill>
      <patternFill patternType="solid">
        <fgColor rgb="FFF4F6FA"/>
      </patternFill>
    </fill>
    <fill>
      <patternFill patternType="solid">
        <fgColor rgb="FFDCE6F1"/>
      </patternFill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theme="8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3" fontId="6" fillId="7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176" fontId="6" fillId="7" borderId="1" xfId="0" applyNumberFormat="1" applyFont="1" applyFill="1" applyBorder="1" applyAlignment="1">
      <alignment horizontal="center" vertical="center" wrapText="1"/>
    </xf>
    <xf numFmtId="177" fontId="6" fillId="7" borderId="1" xfId="0" applyNumberFormat="1" applyFont="1" applyFill="1" applyBorder="1" applyAlignment="1">
      <alignment horizontal="center" vertical="center" wrapText="1"/>
    </xf>
    <xf numFmtId="178" fontId="6" fillId="7" borderId="1" xfId="0" applyNumberFormat="1" applyFont="1" applyFill="1" applyBorder="1" applyAlignment="1">
      <alignment horizontal="center" vertical="center" wrapText="1"/>
    </xf>
    <xf numFmtId="179" fontId="6" fillId="7" borderId="1" xfId="0" applyNumberFormat="1" applyFont="1" applyFill="1" applyBorder="1" applyAlignment="1">
      <alignment horizontal="center" vertical="center" wrapText="1"/>
    </xf>
    <xf numFmtId="177" fontId="5" fillId="6" borderId="1" xfId="0" applyNumberFormat="1" applyFont="1" applyFill="1" applyBorder="1" applyAlignment="1">
      <alignment horizontal="center" vertical="center" wrapText="1"/>
    </xf>
    <xf numFmtId="3" fontId="5" fillId="6" borderId="1" xfId="0" applyNumberFormat="1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 wrapText="1"/>
    </xf>
    <xf numFmtId="177" fontId="8" fillId="8" borderId="1" xfId="0" applyNumberFormat="1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3" fontId="9" fillId="8" borderId="1" xfId="0" applyNumberFormat="1" applyFont="1" applyFill="1" applyBorder="1" applyAlignment="1">
      <alignment horizontal="center" vertical="center" wrapText="1"/>
    </xf>
    <xf numFmtId="176" fontId="5" fillId="6" borderId="1" xfId="0" applyNumberFormat="1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179" fontId="5" fillId="6" borderId="1" xfId="0" applyNumberFormat="1" applyFont="1" applyFill="1" applyBorder="1" applyAlignment="1">
      <alignment horizontal="center" vertical="center" wrapText="1"/>
    </xf>
    <xf numFmtId="179" fontId="8" fillId="8" borderId="1" xfId="0" applyNumberFormat="1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2" fontId="8" fillId="8" borderId="1" xfId="0" applyNumberFormat="1" applyFont="1" applyFill="1" applyBorder="1" applyAlignment="1">
      <alignment horizontal="center" vertical="center" wrapText="1"/>
    </xf>
    <xf numFmtId="180" fontId="8" fillId="8" borderId="1" xfId="0" applyNumberFormat="1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left" vertical="center" wrapText="1"/>
    </xf>
    <xf numFmtId="3" fontId="11" fillId="6" borderId="1" xfId="0" applyNumberFormat="1" applyFont="1" applyFill="1" applyBorder="1" applyAlignment="1">
      <alignment horizontal="center" vertical="center" wrapText="1"/>
    </xf>
    <xf numFmtId="176" fontId="5" fillId="8" borderId="1" xfId="0" applyNumberFormat="1" applyFont="1" applyFill="1" applyBorder="1" applyAlignment="1">
      <alignment horizontal="center" vertical="center" wrapText="1"/>
    </xf>
    <xf numFmtId="3" fontId="5" fillId="8" borderId="1" xfId="0" applyNumberFormat="1" applyFont="1" applyFill="1" applyBorder="1" applyAlignment="1">
      <alignment horizontal="center" vertical="center" wrapText="1"/>
    </xf>
    <xf numFmtId="179" fontId="5" fillId="8" borderId="1" xfId="0" applyNumberFormat="1" applyFont="1" applyFill="1" applyBorder="1" applyAlignment="1">
      <alignment horizontal="center" vertical="center" wrapText="1"/>
    </xf>
    <xf numFmtId="179" fontId="9" fillId="8" borderId="1" xfId="0" applyNumberFormat="1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left" vertical="center" wrapText="1"/>
    </xf>
    <xf numFmtId="176" fontId="8" fillId="9" borderId="1" xfId="0" applyNumberFormat="1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179" fontId="8" fillId="9" borderId="1" xfId="0" applyNumberFormat="1" applyFont="1" applyFill="1" applyBorder="1" applyAlignment="1">
      <alignment horizontal="center" vertical="center" wrapText="1"/>
    </xf>
    <xf numFmtId="179" fontId="9" fillId="9" borderId="1" xfId="0" applyNumberFormat="1" applyFont="1" applyFill="1" applyBorder="1" applyAlignment="1">
      <alignment horizontal="center" vertical="center" wrapText="1"/>
    </xf>
    <xf numFmtId="0" fontId="12" fillId="0" borderId="0" xfId="0" applyFont="1"/>
    <xf numFmtId="3" fontId="4" fillId="5" borderId="1" xfId="0" applyNumberFormat="1" applyFont="1" applyFill="1" applyBorder="1" applyAlignment="1">
      <alignment horizontal="center" vertical="center" wrapText="1"/>
    </xf>
    <xf numFmtId="1" fontId="8" fillId="6" borderId="1" xfId="0" applyNumberFormat="1" applyFont="1" applyFill="1" applyBorder="1" applyAlignment="1">
      <alignment horizontal="center" vertical="center" wrapText="1"/>
    </xf>
    <xf numFmtId="178" fontId="5" fillId="0" borderId="1" xfId="0" applyNumberFormat="1" applyFont="1" applyBorder="1" applyAlignment="1">
      <alignment horizontal="center" vertical="center" wrapText="1"/>
    </xf>
    <xf numFmtId="9" fontId="4" fillId="5" borderId="1" xfId="0" applyNumberFormat="1" applyFont="1" applyFill="1" applyBorder="1" applyAlignment="1">
      <alignment horizontal="center" vertical="center" wrapText="1"/>
    </xf>
    <xf numFmtId="38" fontId="5" fillId="0" borderId="1" xfId="0" applyNumberFormat="1" applyFont="1" applyBorder="1" applyAlignment="1">
      <alignment horizontal="center" vertical="center" wrapText="1"/>
    </xf>
    <xf numFmtId="3" fontId="7" fillId="6" borderId="1" xfId="0" applyNumberFormat="1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wrapText="1"/>
    </xf>
    <xf numFmtId="49" fontId="7" fillId="8" borderId="1" xfId="0" applyNumberFormat="1" applyFont="1" applyFill="1" applyBorder="1" applyAlignment="1">
      <alignment horizontal="center" vertical="center" wrapText="1"/>
    </xf>
    <xf numFmtId="49" fontId="7" fillId="6" borderId="1" xfId="0" applyNumberFormat="1" applyFont="1" applyFill="1" applyBorder="1" applyAlignment="1">
      <alignment horizontal="center" vertical="center" wrapText="1"/>
    </xf>
    <xf numFmtId="179" fontId="7" fillId="6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indent="1"/>
    </xf>
    <xf numFmtId="0" fontId="0" fillId="0" borderId="0" xfId="0"/>
    <xf numFmtId="0" fontId="3" fillId="4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49" fontId="10" fillId="8" borderId="1" xfId="0" applyNumberFormat="1" applyFont="1" applyFill="1" applyBorder="1" applyAlignment="1">
      <alignment horizontal="center" vertical="center" wrapText="1"/>
    </xf>
    <xf numFmtId="0" fontId="0" fillId="0" borderId="2" xfId="0" applyBorder="1"/>
    <xf numFmtId="0" fontId="10" fillId="0" borderId="0" xfId="0" applyFont="1" applyAlignment="1">
      <alignment horizontal="left" vertical="center" wrapText="1" indent="1"/>
    </xf>
    <xf numFmtId="0" fontId="13" fillId="0" borderId="0" xfId="0" applyFont="1" applyAlignment="1">
      <alignment horizontal="left" vertical="center" indent="1"/>
    </xf>
    <xf numFmtId="0" fontId="4" fillId="5" borderId="3" xfId="0" applyFont="1" applyFill="1" applyBorder="1" applyAlignment="1">
      <alignment horizontal="center" vertical="center" wrapText="1"/>
    </xf>
    <xf numFmtId="3" fontId="0" fillId="0" borderId="0" xfId="0" applyNumberFormat="1"/>
    <xf numFmtId="1" fontId="8" fillId="9" borderId="1" xfId="0" applyNumberFormat="1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/>
    </xf>
    <xf numFmtId="177" fontId="5" fillId="10" borderId="1" xfId="0" applyNumberFormat="1" applyFont="1" applyFill="1" applyBorder="1" applyAlignment="1">
      <alignment horizontal="center" vertical="center" wrapText="1"/>
    </xf>
    <xf numFmtId="3" fontId="5" fillId="10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</cellXfs>
  <cellStyles count="1">
    <cellStyle name="常规" xfId="0" builtinId="0"/>
  </cellStyles>
  <dxfs count="8">
    <dxf>
      <font>
        <color rgb="FF9C0006"/>
      </font>
      <fill>
        <patternFill patternType="solid">
          <fgColor rgb="FFFFC7CE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006100"/>
      </font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showGridLines="0" tabSelected="1" zoomScale="115" zoomScaleNormal="115" workbookViewId="0">
      <pane ySplit="3" topLeftCell="A22" activePane="bottomLeft" state="frozen"/>
      <selection pane="bottomLeft" activeCell="B18" sqref="B18"/>
    </sheetView>
  </sheetViews>
  <sheetFormatPr defaultRowHeight="14"/>
  <cols>
    <col min="1" max="1" width="30" customWidth="1"/>
    <col min="2" max="3" width="15" customWidth="1"/>
    <col min="4" max="4" width="34" customWidth="1"/>
    <col min="5" max="5" width="4" customWidth="1"/>
  </cols>
  <sheetData>
    <row r="1" spans="1:4" ht="34" customHeight="1">
      <c r="A1" s="45" t="s">
        <v>0</v>
      </c>
      <c r="B1" s="46"/>
      <c r="C1" s="46"/>
      <c r="D1" s="46"/>
    </row>
    <row r="2" spans="1:4" ht="20" customHeight="1">
      <c r="A2" s="48" t="s">
        <v>1</v>
      </c>
      <c r="B2" s="46"/>
      <c r="C2" s="46"/>
      <c r="D2" s="46"/>
    </row>
    <row r="4" spans="1:4" ht="22" customHeight="1">
      <c r="A4" s="47" t="s">
        <v>2</v>
      </c>
      <c r="B4" s="46"/>
      <c r="C4" s="46"/>
      <c r="D4" s="46"/>
    </row>
    <row r="5" spans="1:4" ht="28" customHeight="1">
      <c r="A5" s="1" t="s">
        <v>3</v>
      </c>
      <c r="B5" s="1" t="s">
        <v>4</v>
      </c>
      <c r="C5" s="1" t="s">
        <v>5</v>
      </c>
      <c r="D5" s="1" t="s">
        <v>6</v>
      </c>
    </row>
    <row r="6" spans="1:4" ht="23">
      <c r="A6" s="2" t="s">
        <v>7</v>
      </c>
      <c r="B6" s="3">
        <v>20500</v>
      </c>
      <c r="C6" s="4" t="s">
        <v>8</v>
      </c>
      <c r="D6" s="5" t="s">
        <v>121</v>
      </c>
    </row>
    <row r="7" spans="1:4">
      <c r="A7" s="2" t="s">
        <v>9</v>
      </c>
      <c r="B7" s="6">
        <v>28</v>
      </c>
      <c r="C7" s="4" t="s">
        <v>10</v>
      </c>
      <c r="D7" s="5" t="s">
        <v>11</v>
      </c>
    </row>
    <row r="8" spans="1:4">
      <c r="A8" s="2" t="s">
        <v>12</v>
      </c>
      <c r="B8" s="6">
        <v>33</v>
      </c>
      <c r="C8" s="4" t="s">
        <v>10</v>
      </c>
      <c r="D8" s="5" t="s">
        <v>13</v>
      </c>
    </row>
    <row r="9" spans="1:4">
      <c r="A9" s="2" t="s">
        <v>14</v>
      </c>
      <c r="B9" s="7">
        <v>0.24</v>
      </c>
      <c r="C9" s="4" t="s">
        <v>15</v>
      </c>
      <c r="D9" s="5" t="s">
        <v>122</v>
      </c>
    </row>
    <row r="10" spans="1:4">
      <c r="A10" s="2" t="s">
        <v>16</v>
      </c>
      <c r="B10" s="3">
        <v>11600</v>
      </c>
      <c r="C10" s="4" t="s">
        <v>8</v>
      </c>
      <c r="D10" s="5" t="s">
        <v>123</v>
      </c>
    </row>
    <row r="11" spans="1:4">
      <c r="A11" s="2" t="s">
        <v>17</v>
      </c>
      <c r="B11" s="3">
        <v>11600</v>
      </c>
      <c r="C11" s="4" t="s">
        <v>8</v>
      </c>
      <c r="D11" s="5" t="s">
        <v>18</v>
      </c>
    </row>
    <row r="12" spans="1:4">
      <c r="A12" s="2" t="s">
        <v>119</v>
      </c>
      <c r="B12" s="3">
        <v>13500</v>
      </c>
      <c r="C12" s="4" t="s">
        <v>8</v>
      </c>
      <c r="D12" s="5" t="s">
        <v>18</v>
      </c>
    </row>
    <row r="13" spans="1:4">
      <c r="A13" s="2" t="s">
        <v>19</v>
      </c>
      <c r="B13" s="3">
        <v>20000</v>
      </c>
      <c r="C13" s="4" t="s">
        <v>8</v>
      </c>
      <c r="D13" s="5" t="s">
        <v>124</v>
      </c>
    </row>
    <row r="14" spans="1:4" ht="23">
      <c r="A14" s="2" t="s">
        <v>20</v>
      </c>
      <c r="B14" s="3">
        <v>5000</v>
      </c>
      <c r="C14" s="4" t="s">
        <v>8</v>
      </c>
      <c r="D14" s="5" t="s">
        <v>120</v>
      </c>
    </row>
    <row r="15" spans="1:4">
      <c r="A15" s="2" t="s">
        <v>21</v>
      </c>
      <c r="B15" s="8">
        <v>3.7999999999999999E-2</v>
      </c>
      <c r="C15" s="4" t="s">
        <v>22</v>
      </c>
      <c r="D15" s="5" t="s">
        <v>23</v>
      </c>
    </row>
    <row r="16" spans="1:4">
      <c r="A16" s="2" t="s">
        <v>24</v>
      </c>
      <c r="B16" s="6">
        <v>1</v>
      </c>
      <c r="C16" s="4" t="s">
        <v>25</v>
      </c>
      <c r="D16" s="5" t="s">
        <v>26</v>
      </c>
    </row>
    <row r="17" spans="1:4">
      <c r="A17" s="2" t="s">
        <v>27</v>
      </c>
      <c r="B17" s="9">
        <v>0.69199999999999995</v>
      </c>
      <c r="C17" s="4" t="s">
        <v>28</v>
      </c>
      <c r="D17" s="5" t="s">
        <v>29</v>
      </c>
    </row>
    <row r="19" spans="1:4" ht="22" customHeight="1">
      <c r="A19" s="47" t="s">
        <v>30</v>
      </c>
      <c r="B19" s="46"/>
      <c r="C19" s="46"/>
      <c r="D19" s="46"/>
    </row>
    <row r="20" spans="1:4">
      <c r="A20" s="1" t="s">
        <v>127</v>
      </c>
      <c r="B20" s="1" t="s">
        <v>31</v>
      </c>
      <c r="C20" s="1" t="s">
        <v>32</v>
      </c>
      <c r="D20" s="1" t="s">
        <v>33</v>
      </c>
    </row>
    <row r="21" spans="1:4">
      <c r="A21" s="2" t="s">
        <v>34</v>
      </c>
      <c r="B21" s="10">
        <v>0.32</v>
      </c>
      <c r="C21" s="11">
        <f>$B$10</f>
        <v>11600</v>
      </c>
      <c r="D21" s="11">
        <f>B21*C21</f>
        <v>3712</v>
      </c>
    </row>
    <row r="22" spans="1:4">
      <c r="A22" s="2" t="s">
        <v>35</v>
      </c>
      <c r="B22" s="10">
        <v>0.08</v>
      </c>
      <c r="C22" s="11">
        <f>$B$11</f>
        <v>11600</v>
      </c>
      <c r="D22" s="11">
        <f>B22*C22</f>
        <v>928</v>
      </c>
    </row>
    <row r="23" spans="1:4">
      <c r="A23" s="2" t="s">
        <v>128</v>
      </c>
      <c r="B23" s="10">
        <v>0.3</v>
      </c>
      <c r="C23" s="11">
        <f>$B$12</f>
        <v>13500</v>
      </c>
      <c r="D23" s="11">
        <f>B23*C23</f>
        <v>4050</v>
      </c>
    </row>
    <row r="24" spans="1:4">
      <c r="A24" s="2" t="s">
        <v>37</v>
      </c>
      <c r="B24" s="10">
        <v>0.06</v>
      </c>
      <c r="C24" s="11">
        <f>$B$13</f>
        <v>20000</v>
      </c>
      <c r="D24" s="11">
        <f>B24*C24</f>
        <v>1200</v>
      </c>
    </row>
    <row r="25" spans="1:4">
      <c r="A25" s="2" t="s">
        <v>38</v>
      </c>
      <c r="B25" s="10">
        <v>0.24</v>
      </c>
      <c r="C25" s="11">
        <f>$B$6</f>
        <v>20500</v>
      </c>
      <c r="D25" s="11">
        <f>B25*C25</f>
        <v>4920</v>
      </c>
    </row>
    <row r="26" spans="1:4" ht="14.5">
      <c r="A26" s="12" t="s">
        <v>39</v>
      </c>
      <c r="B26" s="13">
        <f>SUM(B21:B25)</f>
        <v>1</v>
      </c>
      <c r="C26" s="14" t="s">
        <v>125</v>
      </c>
      <c r="D26" s="15">
        <f>SUM(D21:D25)</f>
        <v>14810</v>
      </c>
    </row>
    <row r="27" spans="1:4">
      <c r="A27" s="2" t="s">
        <v>20</v>
      </c>
      <c r="B27" s="10"/>
      <c r="C27" s="11">
        <v>5000</v>
      </c>
      <c r="D27" s="11">
        <v>5000</v>
      </c>
    </row>
    <row r="28" spans="1:4">
      <c r="A28" s="56" t="s">
        <v>126</v>
      </c>
      <c r="B28" s="57"/>
      <c r="C28" s="58"/>
      <c r="D28" s="58">
        <f>D26+D27</f>
        <v>19810</v>
      </c>
    </row>
    <row r="30" spans="1:4" ht="22" customHeight="1">
      <c r="A30" s="47" t="s">
        <v>40</v>
      </c>
      <c r="B30" s="46"/>
      <c r="C30" s="46"/>
      <c r="D30" s="46"/>
    </row>
    <row r="31" spans="1:4" ht="28" customHeight="1">
      <c r="A31" s="1" t="s">
        <v>41</v>
      </c>
      <c r="B31" s="1" t="s">
        <v>9</v>
      </c>
      <c r="C31" s="1" t="s">
        <v>42</v>
      </c>
      <c r="D31" s="1" t="s">
        <v>5</v>
      </c>
    </row>
    <row r="32" spans="1:4">
      <c r="A32" s="2" t="s">
        <v>43</v>
      </c>
      <c r="B32" s="16">
        <f>$B$7</f>
        <v>28</v>
      </c>
      <c r="C32" s="16">
        <f>$B$8</f>
        <v>33</v>
      </c>
      <c r="D32" s="17" t="s">
        <v>10</v>
      </c>
    </row>
    <row r="33" spans="1:4">
      <c r="A33" s="2" t="s">
        <v>44</v>
      </c>
      <c r="B33" s="18">
        <f>($D$26*B32)/1000000</f>
        <v>0.41467999999999999</v>
      </c>
      <c r="C33" s="18">
        <f>($D$26*C32)/1000000</f>
        <v>0.48873</v>
      </c>
      <c r="D33" s="17" t="s">
        <v>28</v>
      </c>
    </row>
    <row r="34" spans="1:4">
      <c r="A34" s="2" t="s">
        <v>45</v>
      </c>
      <c r="B34" s="18">
        <f>($B$14*B32)/1000000</f>
        <v>0.14000000000000001</v>
      </c>
      <c r="C34" s="18">
        <f>($B$14*C32)/1000000</f>
        <v>0.16500000000000001</v>
      </c>
      <c r="D34" s="17" t="s">
        <v>28</v>
      </c>
    </row>
    <row r="35" spans="1:4">
      <c r="A35" s="12" t="s">
        <v>46</v>
      </c>
      <c r="B35" s="19">
        <f>B33+B34</f>
        <v>0.55468000000000006</v>
      </c>
      <c r="C35" s="19">
        <f>C33+C34</f>
        <v>0.65373000000000003</v>
      </c>
      <c r="D35" s="20" t="s">
        <v>28</v>
      </c>
    </row>
    <row r="36" spans="1:4">
      <c r="A36" s="12" t="s">
        <v>47</v>
      </c>
      <c r="B36" s="19">
        <f>B35*$B$15</f>
        <v>2.107784E-2</v>
      </c>
      <c r="C36" s="19">
        <f>C35*$B$15</f>
        <v>2.4841740000000001E-2</v>
      </c>
      <c r="D36" s="20" t="s">
        <v>48</v>
      </c>
    </row>
    <row r="37" spans="1:4">
      <c r="A37" s="2" t="s">
        <v>49</v>
      </c>
      <c r="B37" s="4">
        <f>B35/$B$17-1</f>
        <v>-0.19843930635838136</v>
      </c>
      <c r="C37" s="4">
        <f>C35/$B$17-1</f>
        <v>-5.5303468208092399E-2</v>
      </c>
      <c r="D37" s="17" t="s">
        <v>15</v>
      </c>
    </row>
    <row r="38" spans="1:4">
      <c r="A38" s="2" t="s">
        <v>50</v>
      </c>
      <c r="B38" s="11">
        <f>B36*$B$16*10000</f>
        <v>210.7784</v>
      </c>
      <c r="C38" s="11">
        <f>C36*$B$16*10000</f>
        <v>248.41740000000001</v>
      </c>
      <c r="D38" s="17" t="s">
        <v>51</v>
      </c>
    </row>
    <row r="40" spans="1:4" ht="22" customHeight="1">
      <c r="A40" s="47" t="s">
        <v>52</v>
      </c>
      <c r="B40" s="46"/>
      <c r="C40" s="46"/>
      <c r="D40" s="46"/>
    </row>
    <row r="41" spans="1:4">
      <c r="A41" s="12" t="s">
        <v>53</v>
      </c>
      <c r="B41" s="21">
        <f>$B$17/(($D$26+$B$14)/1000000)</f>
        <v>34.931852599697116</v>
      </c>
      <c r="C41" s="20" t="s">
        <v>10</v>
      </c>
    </row>
    <row r="42" spans="1:4">
      <c r="A42" s="12" t="s">
        <v>54</v>
      </c>
      <c r="B42" s="22">
        <f>$B$8-B41</f>
        <v>-1.9318525996971161</v>
      </c>
      <c r="C42" s="20" t="s">
        <v>10</v>
      </c>
    </row>
    <row r="43" spans="1:4">
      <c r="A43" s="12" t="s">
        <v>55</v>
      </c>
      <c r="B43" s="49" t="str">
        <f>IF(B35&lt;=$B$17,"设计：优于传统","设计：高于传统")&amp;" ｜ "&amp;IF(C35&lt;=$B$17,"实际：优于传统","实际：高于传统")</f>
        <v>设计：优于传统 ｜ 实际：优于传统</v>
      </c>
      <c r="C43" s="50"/>
      <c r="D43" s="20"/>
    </row>
    <row r="44" spans="1:4">
      <c r="A44" s="12" t="s">
        <v>56</v>
      </c>
      <c r="B44" s="21">
        <f>$B$9*1000*$B$7/1000000</f>
        <v>6.7200000000000003E-3</v>
      </c>
      <c r="C44" s="20" t="s">
        <v>28</v>
      </c>
    </row>
    <row r="47" spans="1:4">
      <c r="A47" s="23" t="s">
        <v>57</v>
      </c>
      <c r="B47" s="24">
        <f>(34*$B$10+8*$B$11+30*$B$12+6*$B$13)/78</f>
        <v>12976.923076923076</v>
      </c>
    </row>
  </sheetData>
  <mergeCells count="7">
    <mergeCell ref="B43:C43"/>
    <mergeCell ref="A30:D30"/>
    <mergeCell ref="A1:D1"/>
    <mergeCell ref="A4:D4"/>
    <mergeCell ref="A40:D40"/>
    <mergeCell ref="A19:D19"/>
    <mergeCell ref="A2:D2"/>
  </mergeCells>
  <phoneticPr fontId="1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3"/>
  <sheetViews>
    <sheetView showGridLines="0" zoomScale="130" zoomScaleNormal="130" workbookViewId="0">
      <selection activeCell="F11" sqref="F11"/>
    </sheetView>
  </sheetViews>
  <sheetFormatPr defaultRowHeight="14"/>
  <cols>
    <col min="1" max="1" width="26" customWidth="1"/>
    <col min="2" max="2" width="10" customWidth="1"/>
    <col min="3" max="4" width="13" customWidth="1"/>
    <col min="5" max="5" width="12" customWidth="1"/>
    <col min="6" max="6" width="15" customWidth="1"/>
    <col min="7" max="7" width="12" customWidth="1"/>
    <col min="8" max="8" width="13" customWidth="1"/>
    <col min="9" max="9" width="12.453125" customWidth="1"/>
  </cols>
  <sheetData>
    <row r="1" spans="1:18" ht="34" customHeight="1">
      <c r="A1" s="45" t="s">
        <v>58</v>
      </c>
      <c r="B1" s="46"/>
      <c r="C1" s="46"/>
      <c r="D1" s="46"/>
      <c r="E1" s="46"/>
      <c r="F1" s="46"/>
      <c r="G1" s="46"/>
      <c r="H1" s="46"/>
    </row>
    <row r="2" spans="1:18" ht="20" customHeight="1">
      <c r="A2" s="48" t="s">
        <v>59</v>
      </c>
      <c r="B2" s="46"/>
      <c r="C2" s="46"/>
      <c r="D2" s="46"/>
      <c r="E2" s="46"/>
      <c r="F2" s="46"/>
      <c r="G2" s="46"/>
      <c r="H2" s="46"/>
    </row>
    <row r="4" spans="1:18" ht="28" customHeight="1">
      <c r="A4" s="1" t="s">
        <v>60</v>
      </c>
      <c r="B4" s="1" t="s">
        <v>61</v>
      </c>
      <c r="C4" s="1" t="s">
        <v>62</v>
      </c>
      <c r="D4" s="1" t="s">
        <v>63</v>
      </c>
      <c r="E4" s="1" t="s">
        <v>64</v>
      </c>
      <c r="F4" s="1" t="s">
        <v>65</v>
      </c>
      <c r="G4" s="1" t="s">
        <v>48</v>
      </c>
      <c r="H4" s="1" t="s">
        <v>66</v>
      </c>
      <c r="I4" s="53" t="s">
        <v>118</v>
      </c>
    </row>
    <row r="5" spans="1:18" ht="14.5">
      <c r="A5" s="12" t="s">
        <v>67</v>
      </c>
      <c r="B5" s="25">
        <f>Model!$B$7</f>
        <v>28</v>
      </c>
      <c r="C5" s="26">
        <f>Model!$D$26</f>
        <v>14810</v>
      </c>
      <c r="D5" s="27">
        <f t="shared" ref="D5:D10" si="0">C5*B5/1000000</f>
        <v>0.41467999999999999</v>
      </c>
      <c r="E5" s="27">
        <f>Model!$B$14*B5/1000000</f>
        <v>0.14000000000000001</v>
      </c>
      <c r="F5" s="28">
        <f t="shared" ref="F5:F10" si="1">D5+E5</f>
        <v>0.55468000000000006</v>
      </c>
      <c r="G5" s="19">
        <f>F5*Model!$B$15</f>
        <v>2.107784E-2</v>
      </c>
      <c r="H5" s="14">
        <f>F5/$F$11-1</f>
        <v>-0.19843930635838136</v>
      </c>
      <c r="I5" s="54">
        <f>C5+5000</f>
        <v>19810</v>
      </c>
      <c r="K5">
        <f>I5/I11</f>
        <v>1.1450867052023121</v>
      </c>
      <c r="O5">
        <f>F5*B5</f>
        <v>15.531040000000001</v>
      </c>
      <c r="Q5">
        <v>17.3</v>
      </c>
      <c r="R5">
        <f>(Q5-O5)/Q5</f>
        <v>0.10225202312138727</v>
      </c>
    </row>
    <row r="6" spans="1:18" ht="14.5">
      <c r="A6" s="12" t="s">
        <v>68</v>
      </c>
      <c r="B6" s="25">
        <f>Model!$B$8</f>
        <v>33</v>
      </c>
      <c r="C6" s="26">
        <f>Model!$D$26</f>
        <v>14810</v>
      </c>
      <c r="D6" s="27">
        <f t="shared" si="0"/>
        <v>0.48873</v>
      </c>
      <c r="E6" s="27">
        <f>Model!$B$14*B6/1000000</f>
        <v>0.16500000000000001</v>
      </c>
      <c r="F6" s="28">
        <f t="shared" si="1"/>
        <v>0.65373000000000003</v>
      </c>
      <c r="G6" s="19">
        <f>F6*Model!$B$15</f>
        <v>2.4841740000000001E-2</v>
      </c>
      <c r="H6" s="14">
        <f t="shared" ref="H5:H10" si="2">F6/$F$11-1</f>
        <v>-5.5303468208092399E-2</v>
      </c>
      <c r="I6" s="54">
        <f t="shared" ref="I6:I10" si="3">C6+5000</f>
        <v>19810</v>
      </c>
      <c r="O6">
        <f>F6*B6</f>
        <v>21.573090000000001</v>
      </c>
      <c r="Q6">
        <v>19.8</v>
      </c>
      <c r="R6">
        <f>Q6/Q5</f>
        <v>1.1445086705202312</v>
      </c>
    </row>
    <row r="7" spans="1:18">
      <c r="A7" s="2" t="s">
        <v>69</v>
      </c>
      <c r="B7" s="16">
        <v>39.799999999999997</v>
      </c>
      <c r="C7" s="11">
        <v>10600</v>
      </c>
      <c r="D7" s="18">
        <f t="shared" si="0"/>
        <v>0.42187999999999992</v>
      </c>
      <c r="E7" s="18">
        <f>Model!$B$14*B7/1000000</f>
        <v>0.19900000000000001</v>
      </c>
      <c r="F7" s="18">
        <f t="shared" si="1"/>
        <v>0.62087999999999988</v>
      </c>
      <c r="G7" s="18">
        <f>F7*Model!$B$15</f>
        <v>2.3593439999999993E-2</v>
      </c>
      <c r="H7" s="4">
        <f t="shared" si="2"/>
        <v>-0.10277456647398853</v>
      </c>
      <c r="I7" s="54">
        <f t="shared" si="3"/>
        <v>15600</v>
      </c>
      <c r="O7">
        <f>F7*B7</f>
        <v>24.711023999999995</v>
      </c>
      <c r="Q7" s="59">
        <f>12/40</f>
        <v>0.3</v>
      </c>
    </row>
    <row r="8" spans="1:18">
      <c r="A8" s="2" t="s">
        <v>70</v>
      </c>
      <c r="B8" s="16">
        <v>38.799999999999997</v>
      </c>
      <c r="C8" s="11">
        <v>10350</v>
      </c>
      <c r="D8" s="18">
        <f t="shared" si="0"/>
        <v>0.40157999999999994</v>
      </c>
      <c r="E8" s="18">
        <f>Model!$B$14*B8/1000000</f>
        <v>0.19400000000000001</v>
      </c>
      <c r="F8" s="18">
        <f t="shared" si="1"/>
        <v>0.59558</v>
      </c>
      <c r="G8" s="18">
        <f>F8*Model!$B$15</f>
        <v>2.2632039999999999E-2</v>
      </c>
      <c r="H8" s="4">
        <f t="shared" si="2"/>
        <v>-0.13933526011560693</v>
      </c>
      <c r="I8" s="54">
        <f t="shared" si="3"/>
        <v>15350</v>
      </c>
      <c r="O8">
        <f>F8*B8</f>
        <v>23.108504</v>
      </c>
    </row>
    <row r="9" spans="1:18">
      <c r="A9" s="2" t="s">
        <v>71</v>
      </c>
      <c r="B9" s="16">
        <v>40</v>
      </c>
      <c r="C9" s="11">
        <v>10146</v>
      </c>
      <c r="D9" s="18">
        <f t="shared" si="0"/>
        <v>0.40583999999999998</v>
      </c>
      <c r="E9" s="18">
        <f>Model!$B$14*B9/1000000</f>
        <v>0.2</v>
      </c>
      <c r="F9" s="18">
        <f t="shared" si="1"/>
        <v>0.60583999999999993</v>
      </c>
      <c r="G9" s="18">
        <f>F9*Model!$B$15</f>
        <v>2.3021919999999998E-2</v>
      </c>
      <c r="H9" s="4">
        <f t="shared" si="2"/>
        <v>-0.12450867052023129</v>
      </c>
      <c r="I9" s="54">
        <f t="shared" si="3"/>
        <v>15146</v>
      </c>
      <c r="O9">
        <f>F9*B9</f>
        <v>24.233599999999996</v>
      </c>
    </row>
    <row r="10" spans="1:18">
      <c r="A10" s="2" t="s">
        <v>72</v>
      </c>
      <c r="B10" s="16">
        <v>40</v>
      </c>
      <c r="C10" s="11">
        <v>9170</v>
      </c>
      <c r="D10" s="18">
        <f t="shared" si="0"/>
        <v>0.36680000000000001</v>
      </c>
      <c r="E10" s="18">
        <f>Model!$B$14*B10/1000000</f>
        <v>0.2</v>
      </c>
      <c r="F10" s="18">
        <f t="shared" si="1"/>
        <v>0.56679999999999997</v>
      </c>
      <c r="G10" s="18">
        <f>F10*Model!$B$15</f>
        <v>2.1538399999999999E-2</v>
      </c>
      <c r="H10" s="4">
        <f t="shared" si="2"/>
        <v>-0.18092485549132942</v>
      </c>
      <c r="I10" s="54">
        <f t="shared" si="3"/>
        <v>14170</v>
      </c>
      <c r="O10">
        <f>F10*B10</f>
        <v>22.671999999999997</v>
      </c>
    </row>
    <row r="11" spans="1:18" ht="14.5">
      <c r="A11" s="29" t="s">
        <v>73</v>
      </c>
      <c r="B11" s="30">
        <f>AVERAGE(B7:B10)</f>
        <v>39.65</v>
      </c>
      <c r="C11" s="31"/>
      <c r="D11" s="32">
        <f>AVERAGE(D7:D10)</f>
        <v>0.39902499999999996</v>
      </c>
      <c r="E11" s="32">
        <f>AVERAGE(E7:E10)</f>
        <v>0.19824999999999998</v>
      </c>
      <c r="F11" s="33">
        <f>Q5*40/1000</f>
        <v>0.69199999999999995</v>
      </c>
      <c r="G11" s="32">
        <f>AVERAGE(G7:G10)</f>
        <v>2.2696449999999996E-2</v>
      </c>
      <c r="H11" s="31"/>
      <c r="I11" s="55">
        <f>17.3*1000</f>
        <v>17300</v>
      </c>
    </row>
    <row r="13" spans="1:18" ht="30" customHeight="1">
      <c r="A13" s="51" t="s">
        <v>74</v>
      </c>
      <c r="B13" s="46"/>
      <c r="C13" s="46"/>
      <c r="D13" s="46"/>
      <c r="E13" s="46"/>
      <c r="F13" s="46"/>
      <c r="G13" s="46"/>
      <c r="H13" s="46"/>
    </row>
  </sheetData>
  <mergeCells count="3">
    <mergeCell ref="A13:H13"/>
    <mergeCell ref="A2:H2"/>
    <mergeCell ref="A1:H1"/>
  </mergeCells>
  <phoneticPr fontId="14" type="noConversion"/>
  <conditionalFormatting sqref="F5:F10">
    <cfRule type="cellIs" dxfId="7" priority="1" operator="lessThan">
      <formula>$F$11</formula>
    </cfRule>
    <cfRule type="cellIs" dxfId="6" priority="2" operator="greaterThan">
      <formula>$F$11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4"/>
  <sheetViews>
    <sheetView showGridLines="0" workbookViewId="0">
      <selection activeCell="E37" sqref="E37"/>
    </sheetView>
  </sheetViews>
  <sheetFormatPr defaultRowHeight="14"/>
  <cols>
    <col min="1" max="1" width="16" customWidth="1"/>
    <col min="2" max="9" width="11" customWidth="1"/>
  </cols>
  <sheetData>
    <row r="1" spans="1:9" ht="34" customHeight="1">
      <c r="A1" s="45" t="s">
        <v>75</v>
      </c>
      <c r="B1" s="46"/>
      <c r="C1" s="46"/>
      <c r="D1" s="46"/>
      <c r="E1" s="46"/>
      <c r="F1" s="46"/>
      <c r="G1" s="46"/>
      <c r="H1" s="46"/>
      <c r="I1" s="46"/>
    </row>
    <row r="2" spans="1:9" ht="20" customHeight="1">
      <c r="A2" s="48" t="s">
        <v>76</v>
      </c>
      <c r="B2" s="46"/>
      <c r="C2" s="46"/>
      <c r="D2" s="46"/>
      <c r="E2" s="46"/>
      <c r="F2" s="46"/>
      <c r="G2" s="46"/>
      <c r="H2" s="46"/>
      <c r="I2" s="46"/>
    </row>
    <row r="4" spans="1:9" ht="15.5">
      <c r="A4" s="34" t="s">
        <v>77</v>
      </c>
    </row>
    <row r="5" spans="1:9">
      <c r="A5" s="1" t="s">
        <v>78</v>
      </c>
      <c r="B5" s="35">
        <v>19000</v>
      </c>
      <c r="C5" s="35">
        <v>19500</v>
      </c>
      <c r="D5" s="35">
        <v>20000</v>
      </c>
      <c r="E5" s="35">
        <v>20500</v>
      </c>
      <c r="F5" s="35">
        <v>21000</v>
      </c>
      <c r="G5" s="35">
        <v>21500</v>
      </c>
      <c r="H5" s="35">
        <v>22000</v>
      </c>
    </row>
    <row r="6" spans="1:9">
      <c r="A6" s="36">
        <v>28</v>
      </c>
      <c r="B6" s="37">
        <f>(Model!$B$47*(1-Model!$B$9)+Model!$B$9*B$5+Model!$B$14)*$A6/1000000</f>
        <v>0.5438289230769231</v>
      </c>
      <c r="C6" s="37">
        <f>(Model!$B$47*(1-Model!$B$9)+Model!$B$9*C$5+Model!$B$14)*$A6/1000000</f>
        <v>0.54718892307692313</v>
      </c>
      <c r="D6" s="37">
        <f>(Model!$B$47*(1-Model!$B$9)+Model!$B$9*D$5+Model!$B$14)*$A6/1000000</f>
        <v>0.55054892307692316</v>
      </c>
      <c r="E6" s="37">
        <f>(Model!$B$47*(1-Model!$B$9)+Model!$B$9*E$5+Model!$B$14)*$A6/1000000</f>
        <v>0.55390892307692308</v>
      </c>
      <c r="F6" s="37">
        <f>(Model!$B$47*(1-Model!$B$9)+Model!$B$9*F$5+Model!$B$14)*$A6/1000000</f>
        <v>0.55726892307692311</v>
      </c>
      <c r="G6" s="37">
        <f>(Model!$B$47*(1-Model!$B$9)+Model!$B$9*G$5+Model!$B$14)*$A6/1000000</f>
        <v>0.56062892307692314</v>
      </c>
      <c r="H6" s="37">
        <f>(Model!$B$47*(1-Model!$B$9)+Model!$B$9*H$5+Model!$B$14)*$A6/1000000</f>
        <v>0.56398892307692317</v>
      </c>
    </row>
    <row r="7" spans="1:9">
      <c r="A7" s="36">
        <v>29</v>
      </c>
      <c r="B7" s="37">
        <f>(Model!$B$47*(1-Model!$B$9)+Model!$B$9*B$5+Model!$B$14)*$A7/1000000</f>
        <v>0.5632513846153846</v>
      </c>
      <c r="C7" s="37">
        <f>(Model!$B$47*(1-Model!$B$9)+Model!$B$9*C$5+Model!$B$14)*$A7/1000000</f>
        <v>0.56673138461538464</v>
      </c>
      <c r="D7" s="37">
        <f>(Model!$B$47*(1-Model!$B$9)+Model!$B$9*D$5+Model!$B$14)*$A7/1000000</f>
        <v>0.57021138461538468</v>
      </c>
      <c r="E7" s="37">
        <f>(Model!$B$47*(1-Model!$B$9)+Model!$B$9*E$5+Model!$B$14)*$A7/1000000</f>
        <v>0.5736913846153846</v>
      </c>
      <c r="F7" s="37">
        <f>(Model!$B$47*(1-Model!$B$9)+Model!$B$9*F$5+Model!$B$14)*$A7/1000000</f>
        <v>0.57717138461538464</v>
      </c>
      <c r="G7" s="37">
        <f>(Model!$B$47*(1-Model!$B$9)+Model!$B$9*G$5+Model!$B$14)*$A7/1000000</f>
        <v>0.58065138461538457</v>
      </c>
      <c r="H7" s="37">
        <f>(Model!$B$47*(1-Model!$B$9)+Model!$B$9*H$5+Model!$B$14)*$A7/1000000</f>
        <v>0.58413138461538461</v>
      </c>
    </row>
    <row r="8" spans="1:9">
      <c r="A8" s="36">
        <v>30</v>
      </c>
      <c r="B8" s="37">
        <f>(Model!$B$47*(1-Model!$B$9)+Model!$B$9*B$5+Model!$B$14)*$A8/1000000</f>
        <v>0.5826738461538461</v>
      </c>
      <c r="C8" s="37">
        <f>(Model!$B$47*(1-Model!$B$9)+Model!$B$9*C$5+Model!$B$14)*$A8/1000000</f>
        <v>0.58627384615384615</v>
      </c>
      <c r="D8" s="37">
        <f>(Model!$B$47*(1-Model!$B$9)+Model!$B$9*D$5+Model!$B$14)*$A8/1000000</f>
        <v>0.58987384615384608</v>
      </c>
      <c r="E8" s="37">
        <f>(Model!$B$47*(1-Model!$B$9)+Model!$B$9*E$5+Model!$B$14)*$A8/1000000</f>
        <v>0.59347384615384613</v>
      </c>
      <c r="F8" s="37">
        <f>(Model!$B$47*(1-Model!$B$9)+Model!$B$9*F$5+Model!$B$14)*$A8/1000000</f>
        <v>0.59707384615384618</v>
      </c>
      <c r="G8" s="37">
        <f>(Model!$B$47*(1-Model!$B$9)+Model!$B$9*G$5+Model!$B$14)*$A8/1000000</f>
        <v>0.60067384615384611</v>
      </c>
      <c r="H8" s="37">
        <f>(Model!$B$47*(1-Model!$B$9)+Model!$B$9*H$5+Model!$B$14)*$A8/1000000</f>
        <v>0.60427384615384616</v>
      </c>
    </row>
    <row r="9" spans="1:9">
      <c r="A9" s="36">
        <v>31</v>
      </c>
      <c r="B9" s="37">
        <f>(Model!$B$47*(1-Model!$B$9)+Model!$B$9*B$5+Model!$B$14)*$A9/1000000</f>
        <v>0.60209630769230771</v>
      </c>
      <c r="C9" s="37">
        <f>(Model!$B$47*(1-Model!$B$9)+Model!$B$9*C$5+Model!$B$14)*$A9/1000000</f>
        <v>0.60581630769230777</v>
      </c>
      <c r="D9" s="37">
        <f>(Model!$B$47*(1-Model!$B$9)+Model!$B$9*D$5+Model!$B$14)*$A9/1000000</f>
        <v>0.60953630769230771</v>
      </c>
      <c r="E9" s="37">
        <f>(Model!$B$47*(1-Model!$B$9)+Model!$B$9*E$5+Model!$B$14)*$A9/1000000</f>
        <v>0.61325630769230777</v>
      </c>
      <c r="F9" s="37">
        <f>(Model!$B$47*(1-Model!$B$9)+Model!$B$9*F$5+Model!$B$14)*$A9/1000000</f>
        <v>0.61697630769230771</v>
      </c>
      <c r="G9" s="37">
        <f>(Model!$B$47*(1-Model!$B$9)+Model!$B$9*G$5+Model!$B$14)*$A9/1000000</f>
        <v>0.62069630769230777</v>
      </c>
      <c r="H9" s="37">
        <f>(Model!$B$47*(1-Model!$B$9)+Model!$B$9*H$5+Model!$B$14)*$A9/1000000</f>
        <v>0.62441630769230771</v>
      </c>
    </row>
    <row r="10" spans="1:9">
      <c r="A10" s="36">
        <v>32</v>
      </c>
      <c r="B10" s="37">
        <f>(Model!$B$47*(1-Model!$B$9)+Model!$B$9*B$5+Model!$B$14)*$A10/1000000</f>
        <v>0.62151876923076921</v>
      </c>
      <c r="C10" s="37">
        <f>(Model!$B$47*(1-Model!$B$9)+Model!$B$9*C$5+Model!$B$14)*$A10/1000000</f>
        <v>0.62535876923076927</v>
      </c>
      <c r="D10" s="37">
        <f>(Model!$B$47*(1-Model!$B$9)+Model!$B$9*D$5+Model!$B$14)*$A10/1000000</f>
        <v>0.62919876923076923</v>
      </c>
      <c r="E10" s="37">
        <f>(Model!$B$47*(1-Model!$B$9)+Model!$B$9*E$5+Model!$B$14)*$A10/1000000</f>
        <v>0.63303876923076929</v>
      </c>
      <c r="F10" s="37">
        <f>(Model!$B$47*(1-Model!$B$9)+Model!$B$9*F$5+Model!$B$14)*$A10/1000000</f>
        <v>0.63687876923076925</v>
      </c>
      <c r="G10" s="37">
        <f>(Model!$B$47*(1-Model!$B$9)+Model!$B$9*G$5+Model!$B$14)*$A10/1000000</f>
        <v>0.6407187692307692</v>
      </c>
      <c r="H10" s="37">
        <f>(Model!$B$47*(1-Model!$B$9)+Model!$B$9*H$5+Model!$B$14)*$A10/1000000</f>
        <v>0.64455876923076927</v>
      </c>
    </row>
    <row r="11" spans="1:9">
      <c r="A11" s="36">
        <v>33</v>
      </c>
      <c r="B11" s="37">
        <f>(Model!$B$47*(1-Model!$B$9)+Model!$B$9*B$5+Model!$B$14)*$A11/1000000</f>
        <v>0.64094123076923071</v>
      </c>
      <c r="C11" s="37">
        <f>(Model!$B$47*(1-Model!$B$9)+Model!$B$9*C$5+Model!$B$14)*$A11/1000000</f>
        <v>0.64490123076923078</v>
      </c>
      <c r="D11" s="37">
        <f>(Model!$B$47*(1-Model!$B$9)+Model!$B$9*D$5+Model!$B$14)*$A11/1000000</f>
        <v>0.64886123076923075</v>
      </c>
      <c r="E11" s="37">
        <f>(Model!$B$47*(1-Model!$B$9)+Model!$B$9*E$5+Model!$B$14)*$A11/1000000</f>
        <v>0.65282123076923071</v>
      </c>
      <c r="F11" s="37">
        <f>(Model!$B$47*(1-Model!$B$9)+Model!$B$9*F$5+Model!$B$14)*$A11/1000000</f>
        <v>0.65678123076923078</v>
      </c>
      <c r="G11" s="37">
        <f>(Model!$B$47*(1-Model!$B$9)+Model!$B$9*G$5+Model!$B$14)*$A11/1000000</f>
        <v>0.66074123076923075</v>
      </c>
      <c r="H11" s="37">
        <f>(Model!$B$47*(1-Model!$B$9)+Model!$B$9*H$5+Model!$B$14)*$A11/1000000</f>
        <v>0.66470123076923071</v>
      </c>
    </row>
    <row r="12" spans="1:9">
      <c r="A12" s="36">
        <v>34</v>
      </c>
      <c r="B12" s="37">
        <f>(Model!$B$47*(1-Model!$B$9)+Model!$B$9*B$5+Model!$B$14)*$A12/1000000</f>
        <v>0.66036369230769232</v>
      </c>
      <c r="C12" s="37">
        <f>(Model!$B$47*(1-Model!$B$9)+Model!$B$9*C$5+Model!$B$14)*$A12/1000000</f>
        <v>0.6644436923076924</v>
      </c>
      <c r="D12" s="37">
        <f>(Model!$B$47*(1-Model!$B$9)+Model!$B$9*D$5+Model!$B$14)*$A12/1000000</f>
        <v>0.66852369230769237</v>
      </c>
      <c r="E12" s="37">
        <f>(Model!$B$47*(1-Model!$B$9)+Model!$B$9*E$5+Model!$B$14)*$A12/1000000</f>
        <v>0.67260369230769235</v>
      </c>
      <c r="F12" s="37">
        <f>(Model!$B$47*(1-Model!$B$9)+Model!$B$9*F$5+Model!$B$14)*$A12/1000000</f>
        <v>0.67668369230769232</v>
      </c>
      <c r="G12" s="37">
        <f>(Model!$B$47*(1-Model!$B$9)+Model!$B$9*G$5+Model!$B$14)*$A12/1000000</f>
        <v>0.6807636923076924</v>
      </c>
      <c r="H12" s="37">
        <f>(Model!$B$47*(1-Model!$B$9)+Model!$B$9*H$5+Model!$B$14)*$A12/1000000</f>
        <v>0.68484369230769238</v>
      </c>
    </row>
    <row r="15" spans="1:9" ht="15.5">
      <c r="A15" s="34" t="s">
        <v>79</v>
      </c>
    </row>
    <row r="16" spans="1:9">
      <c r="A16" s="1" t="s">
        <v>80</v>
      </c>
      <c r="B16" s="38">
        <v>0.1</v>
      </c>
      <c r="C16" s="38">
        <v>0.15</v>
      </c>
      <c r="D16" s="38">
        <v>0.18</v>
      </c>
      <c r="E16" s="38">
        <v>0.2</v>
      </c>
      <c r="F16" s="38">
        <v>0.22</v>
      </c>
      <c r="G16" s="38">
        <v>0.25</v>
      </c>
      <c r="H16" s="38">
        <v>0.3</v>
      </c>
    </row>
    <row r="17" spans="1:8">
      <c r="A17" s="36">
        <v>28</v>
      </c>
      <c r="B17" s="37">
        <f>(Model!$B$47*(1-B$16)+B$16*Model!$B$6+Model!$B$14)*$A17/1000000</f>
        <v>0.5244184615384615</v>
      </c>
      <c r="C17" s="37">
        <f>(Model!$B$47*(1-C$16)+C$16*Model!$B$6+Model!$B$14)*$A17/1000000</f>
        <v>0.53495076923076923</v>
      </c>
      <c r="D17" s="37">
        <f>(Model!$B$47*(1-D$16)+D$16*Model!$B$6+Model!$B$14)*$A17/1000000</f>
        <v>0.54127015384615373</v>
      </c>
      <c r="E17" s="37">
        <f>(Model!$B$47*(1-E$16)+E$16*Model!$B$6+Model!$B$14)*$A17/1000000</f>
        <v>0.54548307692307685</v>
      </c>
      <c r="F17" s="37">
        <f>(Model!$B$47*(1-F$16)+F$16*Model!$B$6+Model!$B$14)*$A17/1000000</f>
        <v>0.54969599999999996</v>
      </c>
      <c r="G17" s="37">
        <f>(Model!$B$47*(1-G$16)+G$16*Model!$B$6+Model!$B$14)*$A17/1000000</f>
        <v>0.55601538461538447</v>
      </c>
      <c r="H17" s="37">
        <f>(Model!$B$47*(1-H$16)+H$16*Model!$B$6+Model!$B$14)*$A17/1000000</f>
        <v>0.56654769230769231</v>
      </c>
    </row>
    <row r="18" spans="1:8">
      <c r="A18" s="36">
        <v>29</v>
      </c>
      <c r="B18" s="37">
        <f>(Model!$B$47*(1-B$16)+B$16*Model!$B$6+Model!$B$14)*$A18/1000000</f>
        <v>0.54314769230769233</v>
      </c>
      <c r="C18" s="37">
        <f>(Model!$B$47*(1-C$16)+C$16*Model!$B$6+Model!$B$14)*$A18/1000000</f>
        <v>0.55405615384615392</v>
      </c>
      <c r="D18" s="37">
        <f>(Model!$B$47*(1-D$16)+D$16*Model!$B$6+Model!$B$14)*$A18/1000000</f>
        <v>0.56060123076923074</v>
      </c>
      <c r="E18" s="37">
        <f>(Model!$B$47*(1-E$16)+E$16*Model!$B$6+Model!$B$14)*$A18/1000000</f>
        <v>0.5649646153846154</v>
      </c>
      <c r="F18" s="37">
        <f>(Model!$B$47*(1-F$16)+F$16*Model!$B$6+Model!$B$14)*$A18/1000000</f>
        <v>0.56932799999999995</v>
      </c>
      <c r="G18" s="37">
        <f>(Model!$B$47*(1-G$16)+G$16*Model!$B$6+Model!$B$14)*$A18/1000000</f>
        <v>0.57587307692307688</v>
      </c>
      <c r="H18" s="37">
        <f>(Model!$B$47*(1-H$16)+H$16*Model!$B$6+Model!$B$14)*$A18/1000000</f>
        <v>0.58678153846153835</v>
      </c>
    </row>
    <row r="19" spans="1:8">
      <c r="A19" s="36">
        <v>30</v>
      </c>
      <c r="B19" s="37">
        <f>(Model!$B$47*(1-B$16)+B$16*Model!$B$6+Model!$B$14)*$A19/1000000</f>
        <v>0.56187692307692316</v>
      </c>
      <c r="C19" s="37">
        <f>(Model!$B$47*(1-C$16)+C$16*Model!$B$6+Model!$B$14)*$A19/1000000</f>
        <v>0.5731615384615385</v>
      </c>
      <c r="D19" s="37">
        <f>(Model!$B$47*(1-D$16)+D$16*Model!$B$6+Model!$B$14)*$A19/1000000</f>
        <v>0.57993230769230764</v>
      </c>
      <c r="E19" s="37">
        <f>(Model!$B$47*(1-E$16)+E$16*Model!$B$6+Model!$B$14)*$A19/1000000</f>
        <v>0.58444615384615384</v>
      </c>
      <c r="F19" s="37">
        <f>(Model!$B$47*(1-F$16)+F$16*Model!$B$6+Model!$B$14)*$A19/1000000</f>
        <v>0.58896000000000004</v>
      </c>
      <c r="G19" s="37">
        <f>(Model!$B$47*(1-G$16)+G$16*Model!$B$6+Model!$B$14)*$A19/1000000</f>
        <v>0.59573076923076917</v>
      </c>
      <c r="H19" s="37">
        <f>(Model!$B$47*(1-H$16)+H$16*Model!$B$6+Model!$B$14)*$A19/1000000</f>
        <v>0.60701538461538462</v>
      </c>
    </row>
    <row r="20" spans="1:8">
      <c r="A20" s="36">
        <v>31</v>
      </c>
      <c r="B20" s="37">
        <f>(Model!$B$47*(1-B$16)+B$16*Model!$B$6+Model!$B$14)*$A20/1000000</f>
        <v>0.58060615384615388</v>
      </c>
      <c r="C20" s="37">
        <f>(Model!$B$47*(1-C$16)+C$16*Model!$B$6+Model!$B$14)*$A20/1000000</f>
        <v>0.59226692307692308</v>
      </c>
      <c r="D20" s="37">
        <f>(Model!$B$47*(1-D$16)+D$16*Model!$B$6+Model!$B$14)*$A20/1000000</f>
        <v>0.59926338461538464</v>
      </c>
      <c r="E20" s="37">
        <f>(Model!$B$47*(1-E$16)+E$16*Model!$B$6+Model!$B$14)*$A20/1000000</f>
        <v>0.60392769230769228</v>
      </c>
      <c r="F20" s="37">
        <f>(Model!$B$47*(1-F$16)+F$16*Model!$B$6+Model!$B$14)*$A20/1000000</f>
        <v>0.60859200000000002</v>
      </c>
      <c r="G20" s="37">
        <f>(Model!$B$47*(1-G$16)+G$16*Model!$B$6+Model!$B$14)*$A20/1000000</f>
        <v>0.61558846153846147</v>
      </c>
      <c r="H20" s="37">
        <f>(Model!$B$47*(1-H$16)+H$16*Model!$B$6+Model!$B$14)*$A20/1000000</f>
        <v>0.62724923076923078</v>
      </c>
    </row>
    <row r="21" spans="1:8">
      <c r="A21" s="36">
        <v>32</v>
      </c>
      <c r="B21" s="37">
        <f>(Model!$B$47*(1-B$16)+B$16*Model!$B$6+Model!$B$14)*$A21/1000000</f>
        <v>0.5993353846153846</v>
      </c>
      <c r="C21" s="37">
        <f>(Model!$B$47*(1-C$16)+C$16*Model!$B$6+Model!$B$14)*$A21/1000000</f>
        <v>0.61137230769230777</v>
      </c>
      <c r="D21" s="37">
        <f>(Model!$B$47*(1-D$16)+D$16*Model!$B$6+Model!$B$14)*$A21/1000000</f>
        <v>0.61859446153846154</v>
      </c>
      <c r="E21" s="37">
        <f>(Model!$B$47*(1-E$16)+E$16*Model!$B$6+Model!$B$14)*$A21/1000000</f>
        <v>0.62340923076923072</v>
      </c>
      <c r="F21" s="37">
        <f>(Model!$B$47*(1-F$16)+F$16*Model!$B$6+Model!$B$14)*$A21/1000000</f>
        <v>0.628224</v>
      </c>
      <c r="G21" s="37">
        <f>(Model!$B$47*(1-G$16)+G$16*Model!$B$6+Model!$B$14)*$A21/1000000</f>
        <v>0.63544615384615377</v>
      </c>
      <c r="H21" s="37">
        <f>(Model!$B$47*(1-H$16)+H$16*Model!$B$6+Model!$B$14)*$A21/1000000</f>
        <v>0.64748307692307683</v>
      </c>
    </row>
    <row r="22" spans="1:8">
      <c r="A22" s="36">
        <v>33</v>
      </c>
      <c r="B22" s="37">
        <f>(Model!$B$47*(1-B$16)+B$16*Model!$B$6+Model!$B$14)*$A22/1000000</f>
        <v>0.61806461538461532</v>
      </c>
      <c r="C22" s="37">
        <f>(Model!$B$47*(1-C$16)+C$16*Model!$B$6+Model!$B$14)*$A22/1000000</f>
        <v>0.63047769230769235</v>
      </c>
      <c r="D22" s="37">
        <f>(Model!$B$47*(1-D$16)+D$16*Model!$B$6+Model!$B$14)*$A22/1000000</f>
        <v>0.63792553846153843</v>
      </c>
      <c r="E22" s="37">
        <f>(Model!$B$47*(1-E$16)+E$16*Model!$B$6+Model!$B$14)*$A22/1000000</f>
        <v>0.64289076923076927</v>
      </c>
      <c r="F22" s="37">
        <f>(Model!$B$47*(1-F$16)+F$16*Model!$B$6+Model!$B$14)*$A22/1000000</f>
        <v>0.64785599999999999</v>
      </c>
      <c r="G22" s="37">
        <f>(Model!$B$47*(1-G$16)+G$16*Model!$B$6+Model!$B$14)*$A22/1000000</f>
        <v>0.65530384615384596</v>
      </c>
      <c r="H22" s="37">
        <f>(Model!$B$47*(1-H$16)+H$16*Model!$B$6+Model!$B$14)*$A22/1000000</f>
        <v>0.66771692307692299</v>
      </c>
    </row>
    <row r="23" spans="1:8">
      <c r="A23" s="36">
        <v>34</v>
      </c>
      <c r="B23" s="37">
        <f>(Model!$B$47*(1-B$16)+B$16*Model!$B$6+Model!$B$14)*$A23/1000000</f>
        <v>0.63679384615384615</v>
      </c>
      <c r="C23" s="37">
        <f>(Model!$B$47*(1-C$16)+C$16*Model!$B$6+Model!$B$14)*$A23/1000000</f>
        <v>0.64958307692307704</v>
      </c>
      <c r="D23" s="37">
        <f>(Model!$B$47*(1-D$16)+D$16*Model!$B$6+Model!$B$14)*$A23/1000000</f>
        <v>0.65725661538461533</v>
      </c>
      <c r="E23" s="37">
        <f>(Model!$B$47*(1-E$16)+E$16*Model!$B$6+Model!$B$14)*$A23/1000000</f>
        <v>0.66237230769230759</v>
      </c>
      <c r="F23" s="37">
        <f>(Model!$B$47*(1-F$16)+F$16*Model!$B$6+Model!$B$14)*$A23/1000000</f>
        <v>0.66748799999999997</v>
      </c>
      <c r="G23" s="37">
        <f>(Model!$B$47*(1-G$16)+G$16*Model!$B$6+Model!$B$14)*$A23/1000000</f>
        <v>0.67516153846153837</v>
      </c>
      <c r="H23" s="37">
        <f>(Model!$B$47*(1-H$16)+H$16*Model!$B$6+Model!$B$14)*$A23/1000000</f>
        <v>0.68795076923076914</v>
      </c>
    </row>
    <row r="26" spans="1:8" ht="15.5">
      <c r="A26" s="34" t="s">
        <v>81</v>
      </c>
    </row>
    <row r="27" spans="1:8">
      <c r="A27" s="1" t="s">
        <v>78</v>
      </c>
      <c r="B27" s="35">
        <v>19000</v>
      </c>
      <c r="C27" s="35">
        <v>19500</v>
      </c>
      <c r="D27" s="35">
        <v>20000</v>
      </c>
      <c r="E27" s="35">
        <v>20500</v>
      </c>
      <c r="F27" s="35">
        <v>21000</v>
      </c>
      <c r="G27" s="35">
        <v>21500</v>
      </c>
      <c r="H27" s="35">
        <v>22000</v>
      </c>
    </row>
    <row r="28" spans="1:8">
      <c r="A28" s="36">
        <v>28</v>
      </c>
      <c r="B28" s="39">
        <f>(((Model!$B$47*(1-Model!$B$9)+Model!$B$9*B$27+Model!$B$14)*$A28/1000000)-Model!$B$17)*Model!$B$15*Model!$B$16*10000</f>
        <v>-56.305009230769208</v>
      </c>
      <c r="C28" s="39">
        <f>(((Model!$B$47*(1-Model!$B$9)+Model!$B$9*C$27+Model!$B$14)*$A28/1000000)-Model!$B$17)*Model!$B$15*Model!$B$16*10000</f>
        <v>-55.028209230769193</v>
      </c>
      <c r="D28" s="39">
        <f>(((Model!$B$47*(1-Model!$B$9)+Model!$B$9*D$27+Model!$B$14)*$A28/1000000)-Model!$B$17)*Model!$B$15*Model!$B$16*10000</f>
        <v>-53.751409230769184</v>
      </c>
      <c r="E28" s="39">
        <f>(((Model!$B$47*(1-Model!$B$9)+Model!$B$9*E$27+Model!$B$14)*$A28/1000000)-Model!$B$17)*Model!$B$15*Model!$B$16*10000</f>
        <v>-52.474609230769211</v>
      </c>
      <c r="F28" s="39">
        <f>(((Model!$B$47*(1-Model!$B$9)+Model!$B$9*F$27+Model!$B$14)*$A28/1000000)-Model!$B$17)*Model!$B$15*Model!$B$16*10000</f>
        <v>-51.197809230769195</v>
      </c>
      <c r="G28" s="39">
        <f>(((Model!$B$47*(1-Model!$B$9)+Model!$B$9*G$27+Model!$B$14)*$A28/1000000)-Model!$B$17)*Model!$B$15*Model!$B$16*10000</f>
        <v>-49.921009230769187</v>
      </c>
      <c r="H28" s="39">
        <f>(((Model!$B$47*(1-Model!$B$9)+Model!$B$9*H$27+Model!$B$14)*$A28/1000000)-Model!$B$17)*Model!$B$15*Model!$B$16*10000</f>
        <v>-48.644209230769171</v>
      </c>
    </row>
    <row r="29" spans="1:8">
      <c r="A29" s="36">
        <v>29</v>
      </c>
      <c r="B29" s="39">
        <f>(((Model!$B$47*(1-Model!$B$9)+Model!$B$9*B$27+Model!$B$14)*$A29/1000000)-Model!$B$17)*Model!$B$15*Model!$B$16*10000</f>
        <v>-48.92447384615383</v>
      </c>
      <c r="C29" s="39">
        <f>(((Model!$B$47*(1-Model!$B$9)+Model!$B$9*C$27+Model!$B$14)*$A29/1000000)-Model!$B$17)*Model!$B$15*Model!$B$16*10000</f>
        <v>-47.602073846153822</v>
      </c>
      <c r="D29" s="39">
        <f>(((Model!$B$47*(1-Model!$B$9)+Model!$B$9*D$27+Model!$B$14)*$A29/1000000)-Model!$B$17)*Model!$B$15*Model!$B$16*10000</f>
        <v>-46.279673846153806</v>
      </c>
      <c r="E29" s="39">
        <f>(((Model!$B$47*(1-Model!$B$9)+Model!$B$9*E$27+Model!$B$14)*$A29/1000000)-Model!$B$17)*Model!$B$15*Model!$B$16*10000</f>
        <v>-44.957273846153825</v>
      </c>
      <c r="F29" s="39">
        <f>(((Model!$B$47*(1-Model!$B$9)+Model!$B$9*F$27+Model!$B$14)*$A29/1000000)-Model!$B$17)*Model!$B$15*Model!$B$16*10000</f>
        <v>-43.634873846153816</v>
      </c>
      <c r="G29" s="39">
        <f>(((Model!$B$47*(1-Model!$B$9)+Model!$B$9*G$27+Model!$B$14)*$A29/1000000)-Model!$B$17)*Model!$B$15*Model!$B$16*10000</f>
        <v>-42.312473846153843</v>
      </c>
      <c r="H29" s="39">
        <f>(((Model!$B$47*(1-Model!$B$9)+Model!$B$9*H$27+Model!$B$14)*$A29/1000000)-Model!$B$17)*Model!$B$15*Model!$B$16*10000</f>
        <v>-40.990073846153827</v>
      </c>
    </row>
    <row r="30" spans="1:8">
      <c r="A30" s="36">
        <v>30</v>
      </c>
      <c r="B30" s="39">
        <f>(((Model!$B$47*(1-Model!$B$9)+Model!$B$9*B$27+Model!$B$14)*$A30/1000000)-Model!$B$17)*Model!$B$15*Model!$B$16*10000</f>
        <v>-41.54393846153846</v>
      </c>
      <c r="C30" s="39">
        <f>(((Model!$B$47*(1-Model!$B$9)+Model!$B$9*C$27+Model!$B$14)*$A30/1000000)-Model!$B$17)*Model!$B$15*Model!$B$16*10000</f>
        <v>-40.17593846153845</v>
      </c>
      <c r="D30" s="39">
        <f>(((Model!$B$47*(1-Model!$B$9)+Model!$B$9*D$27+Model!$B$14)*$A30/1000000)-Model!$B$17)*Model!$B$15*Model!$B$16*10000</f>
        <v>-38.80793846153847</v>
      </c>
      <c r="E30" s="39">
        <f>(((Model!$B$47*(1-Model!$B$9)+Model!$B$9*E$27+Model!$B$14)*$A30/1000000)-Model!$B$17)*Model!$B$15*Model!$B$16*10000</f>
        <v>-37.439938461538453</v>
      </c>
      <c r="F30" s="39">
        <f>(((Model!$B$47*(1-Model!$B$9)+Model!$B$9*F$27+Model!$B$14)*$A30/1000000)-Model!$B$17)*Model!$B$15*Model!$B$16*10000</f>
        <v>-36.07193846153843</v>
      </c>
      <c r="G30" s="39">
        <f>(((Model!$B$47*(1-Model!$B$9)+Model!$B$9*G$27+Model!$B$14)*$A30/1000000)-Model!$B$17)*Model!$B$15*Model!$B$16*10000</f>
        <v>-34.703938461538456</v>
      </c>
      <c r="H30" s="39">
        <f>(((Model!$B$47*(1-Model!$B$9)+Model!$B$9*H$27+Model!$B$14)*$A30/1000000)-Model!$B$17)*Model!$B$15*Model!$B$16*10000</f>
        <v>-33.33593846153844</v>
      </c>
    </row>
    <row r="31" spans="1:8">
      <c r="A31" s="36">
        <v>31</v>
      </c>
      <c r="B31" s="39">
        <f>(((Model!$B$47*(1-Model!$B$9)+Model!$B$9*B$27+Model!$B$14)*$A31/1000000)-Model!$B$17)*Model!$B$15*Model!$B$16*10000</f>
        <v>-34.163403076923053</v>
      </c>
      <c r="C31" s="39">
        <f>(((Model!$B$47*(1-Model!$B$9)+Model!$B$9*C$27+Model!$B$14)*$A31/1000000)-Model!$B$17)*Model!$B$15*Model!$B$16*10000</f>
        <v>-32.74980307692303</v>
      </c>
      <c r="D31" s="39">
        <f>(((Model!$B$47*(1-Model!$B$9)+Model!$B$9*D$27+Model!$B$14)*$A31/1000000)-Model!$B$17)*Model!$B$15*Model!$B$16*10000</f>
        <v>-31.336203076923049</v>
      </c>
      <c r="E31" s="39">
        <f>(((Model!$B$47*(1-Model!$B$9)+Model!$B$9*E$27+Model!$B$14)*$A31/1000000)-Model!$B$17)*Model!$B$15*Model!$B$16*10000</f>
        <v>-29.922603076923028</v>
      </c>
      <c r="F31" s="39">
        <f>(((Model!$B$47*(1-Model!$B$9)+Model!$B$9*F$27+Model!$B$14)*$A31/1000000)-Model!$B$17)*Model!$B$15*Model!$B$16*10000</f>
        <v>-28.509003076923047</v>
      </c>
      <c r="G31" s="39">
        <f>(((Model!$B$47*(1-Model!$B$9)+Model!$B$9*G$27+Model!$B$14)*$A31/1000000)-Model!$B$17)*Model!$B$15*Model!$B$16*10000</f>
        <v>-27.095403076923031</v>
      </c>
      <c r="H31" s="39">
        <f>(((Model!$B$47*(1-Model!$B$9)+Model!$B$9*H$27+Model!$B$14)*$A31/1000000)-Model!$B$17)*Model!$B$15*Model!$B$16*10000</f>
        <v>-25.68180307692305</v>
      </c>
    </row>
    <row r="32" spans="1:8">
      <c r="A32" s="36">
        <v>32</v>
      </c>
      <c r="B32" s="39">
        <f>(((Model!$B$47*(1-Model!$B$9)+Model!$B$9*B$27+Model!$B$14)*$A32/1000000)-Model!$B$17)*Model!$B$15*Model!$B$16*10000</f>
        <v>-26.782867692307683</v>
      </c>
      <c r="C32" s="39">
        <f>(((Model!$B$47*(1-Model!$B$9)+Model!$B$9*C$27+Model!$B$14)*$A32/1000000)-Model!$B$17)*Model!$B$15*Model!$B$16*10000</f>
        <v>-25.323667692307659</v>
      </c>
      <c r="D32" s="39">
        <f>(((Model!$B$47*(1-Model!$B$9)+Model!$B$9*D$27+Model!$B$14)*$A32/1000000)-Model!$B$17)*Model!$B$15*Model!$B$16*10000</f>
        <v>-23.86446769230767</v>
      </c>
      <c r="E32" s="39">
        <f>(((Model!$B$47*(1-Model!$B$9)+Model!$B$9*E$27+Model!$B$14)*$A32/1000000)-Model!$B$17)*Model!$B$15*Model!$B$16*10000</f>
        <v>-22.405267692307646</v>
      </c>
      <c r="F32" s="39">
        <f>(((Model!$B$47*(1-Model!$B$9)+Model!$B$9*F$27+Model!$B$14)*$A32/1000000)-Model!$B$17)*Model!$B$15*Model!$B$16*10000</f>
        <v>-20.946067692307665</v>
      </c>
      <c r="G32" s="39">
        <f>(((Model!$B$47*(1-Model!$B$9)+Model!$B$9*G$27+Model!$B$14)*$A32/1000000)-Model!$B$17)*Model!$B$15*Model!$B$16*10000</f>
        <v>-19.486867692307683</v>
      </c>
      <c r="H32" s="39">
        <f>(((Model!$B$47*(1-Model!$B$9)+Model!$B$9*H$27+Model!$B$14)*$A32/1000000)-Model!$B$17)*Model!$B$15*Model!$B$16*10000</f>
        <v>-18.027667692307659</v>
      </c>
    </row>
    <row r="33" spans="1:8">
      <c r="A33" s="36">
        <v>33</v>
      </c>
      <c r="B33" s="39">
        <f>(((Model!$B$47*(1-Model!$B$9)+Model!$B$9*B$27+Model!$B$14)*$A33/1000000)-Model!$B$17)*Model!$B$15*Model!$B$16*10000</f>
        <v>-19.402332307692312</v>
      </c>
      <c r="C33" s="39">
        <f>(((Model!$B$47*(1-Model!$B$9)+Model!$B$9*C$27+Model!$B$14)*$A33/1000000)-Model!$B$17)*Model!$B$15*Model!$B$16*10000</f>
        <v>-17.897532307692281</v>
      </c>
      <c r="D33" s="39">
        <f>(((Model!$B$47*(1-Model!$B$9)+Model!$B$9*D$27+Model!$B$14)*$A33/1000000)-Model!$B$17)*Model!$B$15*Model!$B$16*10000</f>
        <v>-16.392732307692295</v>
      </c>
      <c r="E33" s="39">
        <f>(((Model!$B$47*(1-Model!$B$9)+Model!$B$9*E$27+Model!$B$14)*$A33/1000000)-Model!$B$17)*Model!$B$15*Model!$B$16*10000</f>
        <v>-14.88793230769231</v>
      </c>
      <c r="F33" s="39">
        <f>(((Model!$B$47*(1-Model!$B$9)+Model!$B$9*F$27+Model!$B$14)*$A33/1000000)-Model!$B$17)*Model!$B$15*Model!$B$16*10000</f>
        <v>-13.383132307692282</v>
      </c>
      <c r="G33" s="39">
        <f>(((Model!$B$47*(1-Model!$B$9)+Model!$B$9*G$27+Model!$B$14)*$A33/1000000)-Model!$B$17)*Model!$B$15*Model!$B$16*10000</f>
        <v>-11.878332307692295</v>
      </c>
      <c r="H33" s="39">
        <f>(((Model!$B$47*(1-Model!$B$9)+Model!$B$9*H$27+Model!$B$14)*$A33/1000000)-Model!$B$17)*Model!$B$15*Model!$B$16*10000</f>
        <v>-10.37353230769231</v>
      </c>
    </row>
    <row r="34" spans="1:8">
      <c r="A34" s="36">
        <v>34</v>
      </c>
      <c r="B34" s="39">
        <f>(((Model!$B$47*(1-Model!$B$9)+Model!$B$9*B$27+Model!$B$14)*$A34/1000000)-Model!$B$17)*Model!$B$15*Model!$B$16*10000</f>
        <v>-12.0217969230769</v>
      </c>
      <c r="C34" s="39">
        <f>(((Model!$B$47*(1-Model!$B$9)+Model!$B$9*C$27+Model!$B$14)*$A34/1000000)-Model!$B$17)*Model!$B$15*Model!$B$16*10000</f>
        <v>-10.471396923076867</v>
      </c>
      <c r="D34" s="39">
        <f>(((Model!$B$47*(1-Model!$B$9)+Model!$B$9*D$27+Model!$B$14)*$A34/1000000)-Model!$B$17)*Model!$B$15*Model!$B$16*10000</f>
        <v>-8.9209969230768777</v>
      </c>
      <c r="E34" s="39">
        <f>(((Model!$B$47*(1-Model!$B$9)+Model!$B$9*E$27+Model!$B$14)*$A34/1000000)-Model!$B$17)*Model!$B$15*Model!$B$16*10000</f>
        <v>-7.3705969230768877</v>
      </c>
      <c r="F34" s="39">
        <f>(((Model!$B$47*(1-Model!$B$9)+Model!$B$9*F$27+Model!$B$14)*$A34/1000000)-Model!$B$17)*Model!$B$15*Model!$B$16*10000</f>
        <v>-5.8201969230768995</v>
      </c>
      <c r="G34" s="39">
        <f>(((Model!$B$47*(1-Model!$B$9)+Model!$B$9*G$27+Model!$B$14)*$A34/1000000)-Model!$B$17)*Model!$B$15*Model!$B$16*10000</f>
        <v>-4.2697969230768669</v>
      </c>
      <c r="H34" s="39">
        <f>(((Model!$B$47*(1-Model!$B$9)+Model!$B$9*H$27+Model!$B$14)*$A34/1000000)-Model!$B$17)*Model!$B$15*Model!$B$16*10000</f>
        <v>-2.7193969230768777</v>
      </c>
    </row>
  </sheetData>
  <mergeCells count="2">
    <mergeCell ref="A1:I1"/>
    <mergeCell ref="A2:I2"/>
  </mergeCells>
  <phoneticPr fontId="14" type="noConversion"/>
  <conditionalFormatting sqref="B28:H34">
    <cfRule type="cellIs" dxfId="1" priority="5" operator="lessThan">
      <formula>0</formula>
    </cfRule>
    <cfRule type="cellIs" dxfId="0" priority="6" operator="greaterThan">
      <formula>0</formula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lessThan" id="{00000000-000E-0000-0200-000001000000}">
            <xm:f>Model!$B$17</xm:f>
            <x14:dxf>
              <font>
                <color rgb="FF006100"/>
              </font>
              <fill>
                <patternFill patternType="solid">
                  <fgColor rgb="FFC6EFCE"/>
                </patternFill>
              </fill>
            </x14:dxf>
          </x14:cfRule>
          <x14:cfRule type="cellIs" priority="2" operator="greaterThan" id="{00000000-000E-0000-0200-000002000000}">
            <xm:f>Model!$B$17</xm:f>
            <x14:dxf>
              <font>
                <color rgb="FF9C0006"/>
              </font>
              <fill>
                <patternFill patternType="solid">
                  <fgColor rgb="FFFFC7CE"/>
                </patternFill>
              </fill>
            </x14:dxf>
          </x14:cfRule>
          <xm:sqref>B6:H12</xm:sqref>
        </x14:conditionalFormatting>
        <x14:conditionalFormatting xmlns:xm="http://schemas.microsoft.com/office/excel/2006/main">
          <x14:cfRule type="cellIs" priority="3" operator="lessThan" id="{00000000-000E-0000-0200-000003000000}">
            <xm:f>Model!$B$17</xm:f>
            <x14:dxf>
              <font>
                <color rgb="FF006100"/>
              </font>
              <fill>
                <patternFill patternType="solid">
                  <fgColor rgb="FFC6EFCE"/>
                </patternFill>
              </fill>
            </x14:dxf>
          </x14:cfRule>
          <x14:cfRule type="cellIs" priority="4" operator="greaterThan" id="{00000000-000E-0000-0200-000004000000}">
            <xm:f>Model!$B$17</xm:f>
            <x14:dxf>
              <font>
                <color rgb="FF9C0006"/>
              </font>
              <fill>
                <patternFill patternType="solid">
                  <fgColor rgb="FFFFC7CE"/>
                </patternFill>
              </fill>
            </x14:dxf>
          </x14:cfRule>
          <xm:sqref>B17:H23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4"/>
  <sheetViews>
    <sheetView showGridLines="0" workbookViewId="0">
      <selection activeCell="D26" sqref="D26"/>
    </sheetView>
  </sheetViews>
  <sheetFormatPr defaultRowHeight="14"/>
  <cols>
    <col min="1" max="1" width="26" customWidth="1"/>
    <col min="2" max="2" width="16" customWidth="1"/>
    <col min="3" max="3" width="14" customWidth="1"/>
    <col min="4" max="4" width="46" customWidth="1"/>
  </cols>
  <sheetData>
    <row r="1" spans="1:4" ht="34" customHeight="1">
      <c r="A1" s="45" t="s">
        <v>82</v>
      </c>
      <c r="B1" s="46"/>
      <c r="C1" s="46"/>
      <c r="D1" s="46"/>
    </row>
    <row r="2" spans="1:4" ht="20" customHeight="1">
      <c r="A2" s="48" t="s">
        <v>83</v>
      </c>
      <c r="B2" s="46"/>
      <c r="C2" s="46"/>
      <c r="D2" s="46"/>
    </row>
    <row r="4" spans="1:4" ht="28" customHeight="1">
      <c r="A4" s="1" t="s">
        <v>41</v>
      </c>
      <c r="B4" s="1" t="s">
        <v>4</v>
      </c>
      <c r="C4" s="1" t="s">
        <v>5</v>
      </c>
      <c r="D4" s="1" t="s">
        <v>84</v>
      </c>
    </row>
    <row r="5" spans="1:4">
      <c r="A5" s="5" t="s">
        <v>85</v>
      </c>
      <c r="B5" s="40">
        <v>20500</v>
      </c>
      <c r="C5" s="17" t="s">
        <v>8</v>
      </c>
      <c r="D5" s="5" t="s">
        <v>86</v>
      </c>
    </row>
    <row r="6" spans="1:4" ht="23">
      <c r="A6" s="41" t="s">
        <v>87</v>
      </c>
      <c r="B6" s="42" t="s">
        <v>88</v>
      </c>
      <c r="C6" s="20" t="s">
        <v>88</v>
      </c>
      <c r="D6" s="41" t="s">
        <v>89</v>
      </c>
    </row>
    <row r="7" spans="1:4">
      <c r="A7" s="5" t="s">
        <v>90</v>
      </c>
      <c r="B7" s="40">
        <v>18000</v>
      </c>
      <c r="C7" s="17" t="s">
        <v>8</v>
      </c>
      <c r="D7" s="5" t="s">
        <v>91</v>
      </c>
    </row>
    <row r="8" spans="1:4">
      <c r="A8" s="5" t="s">
        <v>92</v>
      </c>
      <c r="B8" s="40">
        <v>6800</v>
      </c>
      <c r="C8" s="17" t="s">
        <v>8</v>
      </c>
      <c r="D8" s="5" t="s">
        <v>93</v>
      </c>
    </row>
    <row r="9" spans="1:4">
      <c r="A9" s="5" t="s">
        <v>94</v>
      </c>
      <c r="B9" s="40">
        <v>8600</v>
      </c>
      <c r="C9" s="17" t="s">
        <v>8</v>
      </c>
      <c r="D9" s="5" t="s">
        <v>95</v>
      </c>
    </row>
    <row r="10" spans="1:4">
      <c r="A10" s="5" t="s">
        <v>96</v>
      </c>
      <c r="B10" s="40">
        <v>9100</v>
      </c>
      <c r="C10" s="17" t="s">
        <v>8</v>
      </c>
      <c r="D10" s="5" t="s">
        <v>97</v>
      </c>
    </row>
    <row r="11" spans="1:4">
      <c r="A11" s="5" t="s">
        <v>98</v>
      </c>
      <c r="B11" s="40">
        <v>11600</v>
      </c>
      <c r="C11" s="17" t="s">
        <v>8</v>
      </c>
      <c r="D11" s="5" t="s">
        <v>99</v>
      </c>
    </row>
    <row r="12" spans="1:4">
      <c r="A12" s="5" t="s">
        <v>36</v>
      </c>
      <c r="B12" s="40">
        <v>13500</v>
      </c>
      <c r="C12" s="17" t="s">
        <v>8</v>
      </c>
      <c r="D12" s="5" t="s">
        <v>100</v>
      </c>
    </row>
    <row r="13" spans="1:4">
      <c r="A13" s="5" t="s">
        <v>37</v>
      </c>
      <c r="B13" s="40">
        <v>20000</v>
      </c>
      <c r="C13" s="17" t="s">
        <v>8</v>
      </c>
      <c r="D13" s="5" t="s">
        <v>101</v>
      </c>
    </row>
    <row r="14" spans="1:4">
      <c r="A14" s="5" t="s">
        <v>102</v>
      </c>
      <c r="B14" s="40">
        <v>5000</v>
      </c>
      <c r="C14" s="17" t="s">
        <v>8</v>
      </c>
      <c r="D14" s="5" t="s">
        <v>103</v>
      </c>
    </row>
    <row r="15" spans="1:4">
      <c r="A15" s="5" t="s">
        <v>104</v>
      </c>
      <c r="B15" s="40">
        <v>4000</v>
      </c>
      <c r="C15" s="17" t="s">
        <v>8</v>
      </c>
      <c r="D15" s="5" t="s">
        <v>105</v>
      </c>
    </row>
    <row r="16" spans="1:4">
      <c r="A16" s="5" t="s">
        <v>106</v>
      </c>
      <c r="B16" s="43" t="s">
        <v>107</v>
      </c>
      <c r="C16" s="17" t="s">
        <v>88</v>
      </c>
      <c r="D16" s="5" t="s">
        <v>108</v>
      </c>
    </row>
    <row r="17" spans="1:4">
      <c r="A17" s="5" t="s">
        <v>21</v>
      </c>
      <c r="B17" s="44">
        <v>3.7999999999999999E-2</v>
      </c>
      <c r="C17" s="17" t="s">
        <v>22</v>
      </c>
      <c r="D17" s="5" t="s">
        <v>109</v>
      </c>
    </row>
    <row r="18" spans="1:4">
      <c r="A18" s="5" t="s">
        <v>24</v>
      </c>
      <c r="B18" s="44">
        <v>1</v>
      </c>
      <c r="C18" s="17" t="s">
        <v>25</v>
      </c>
      <c r="D18" s="5" t="s">
        <v>110</v>
      </c>
    </row>
    <row r="19" spans="1:4">
      <c r="A19" s="5" t="s">
        <v>9</v>
      </c>
      <c r="B19" s="44">
        <v>28.8</v>
      </c>
      <c r="C19" s="17" t="s">
        <v>10</v>
      </c>
      <c r="D19" s="5" t="s">
        <v>111</v>
      </c>
    </row>
    <row r="20" spans="1:4">
      <c r="A20" s="5" t="s">
        <v>12</v>
      </c>
      <c r="B20" s="44">
        <v>33</v>
      </c>
      <c r="C20" s="17" t="s">
        <v>10</v>
      </c>
      <c r="D20" s="5" t="s">
        <v>112</v>
      </c>
    </row>
    <row r="21" spans="1:4">
      <c r="A21" s="5" t="s">
        <v>14</v>
      </c>
      <c r="B21" s="43" t="s">
        <v>113</v>
      </c>
      <c r="C21" s="17" t="s">
        <v>15</v>
      </c>
      <c r="D21" s="5" t="s">
        <v>114</v>
      </c>
    </row>
    <row r="22" spans="1:4">
      <c r="A22" s="5" t="s">
        <v>115</v>
      </c>
      <c r="B22" s="44">
        <v>0.57750000000000001</v>
      </c>
      <c r="C22" s="17" t="s">
        <v>28</v>
      </c>
      <c r="D22" s="5" t="s">
        <v>116</v>
      </c>
    </row>
    <row r="24" spans="1:4">
      <c r="A24" s="52" t="s">
        <v>117</v>
      </c>
      <c r="B24" s="46"/>
      <c r="C24" s="46"/>
      <c r="D24" s="46"/>
    </row>
  </sheetData>
  <mergeCells count="3">
    <mergeCell ref="A1:D1"/>
    <mergeCell ref="A24:D24"/>
    <mergeCell ref="A2:D2"/>
  </mergeCells>
  <phoneticPr fontId="1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Model</vt:lpstr>
      <vt:lpstr>Compare</vt:lpstr>
      <vt:lpstr>Sensitivity</vt:lpstr>
      <vt:lpstr>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Wang, Chris</cp:lastModifiedBy>
  <dcterms:created xsi:type="dcterms:W3CDTF">2026-10-23T13:37:57Z</dcterms:created>
  <dcterms:modified xsi:type="dcterms:W3CDTF">2026-10-26T05:45:06Z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c3caa80-b45a-41c4-be35-6a080a795a59_Enabled">
    <vt:lpwstr>true</vt:lpwstr>
  </property>
  <property fmtid="{D5CDD505-2E9C-101B-9397-08002B2CF9AE}" pid="3" name="MSIP_Label_ec3caa80-b45a-41c4-be35-6a080a795a59_SetDate">
    <vt:lpwstr>2026-10-26T01:33:52Z</vt:lpwstr>
  </property>
  <property fmtid="{D5CDD505-2E9C-101B-9397-08002B2CF9AE}" pid="4" name="MSIP_Label_ec3caa80-b45a-41c4-be35-6a080a795a59_Method">
    <vt:lpwstr>Privileged</vt:lpwstr>
  </property>
  <property fmtid="{D5CDD505-2E9C-101B-9397-08002B2CF9AE}" pid="5" name="MSIP_Label_ec3caa80-b45a-41c4-be35-6a080a795a59_Name">
    <vt:lpwstr>ec3caa80-b45a-41c4-be35-6a080a795a59</vt:lpwstr>
  </property>
  <property fmtid="{D5CDD505-2E9C-101B-9397-08002B2CF9AE}" pid="6" name="MSIP_Label_ec3caa80-b45a-41c4-be35-6a080a795a59_SiteId">
    <vt:lpwstr>fee2180b-69b6-4afe-9f14-ccd70bd4c737</vt:lpwstr>
  </property>
  <property fmtid="{D5CDD505-2E9C-101B-9397-08002B2CF9AE}" pid="7" name="MSIP_Label_ec3caa80-b45a-41c4-be35-6a080a795a59_ActionId">
    <vt:lpwstr>0769342f-40a7-46b1-b8b5-e09bfe0048ff</vt:lpwstr>
  </property>
  <property fmtid="{D5CDD505-2E9C-101B-9397-08002B2CF9AE}" pid="8" name="MSIP_Label_ec3caa80-b45a-41c4-be35-6a080a795a59_ContentBits">
    <vt:lpwstr>0</vt:lpwstr>
  </property>
  <property fmtid="{D5CDD505-2E9C-101B-9397-08002B2CF9AE}" pid="9" name="MSIP_Label_ec3caa80-b45a-41c4-be35-6a080a795a59_Tag">
    <vt:lpwstr>10, 0, 1, 1</vt:lpwstr>
  </property>
</Properties>
</file>