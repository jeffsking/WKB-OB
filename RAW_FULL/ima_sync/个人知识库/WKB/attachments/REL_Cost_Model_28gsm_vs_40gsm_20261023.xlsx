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Compare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%"/>
    <numFmt numFmtId="166" formatCode="0.000"/>
    <numFmt numFmtId="167" formatCode="0.0000"/>
    <numFmt numFmtId="168" formatCode="%+0.0%;-%0.0%"/>
    <numFmt numFmtId="169" formatCode="+0.0;-0.0"/>
    <numFmt numFmtId="170" formatCode="#,##0;[Red]-#,##0"/>
  </numFmts>
  <fonts count="14">
    <font>
      <name val="Calibri"/>
      <family val="2"/>
      <color theme="1"/>
      <sz val="11"/>
      <scheme val="minor"/>
    </font>
    <font>
      <name val="微软雅黑"/>
      <b val="1"/>
      <color rgb="00D4AF37"/>
      <sz val="16"/>
    </font>
    <font>
      <name val="微软雅黑"/>
      <color rgb="00FFFFFF"/>
      <sz val="9"/>
    </font>
    <font>
      <name val="微软雅黑"/>
      <b val="1"/>
      <color rgb="00FFFFFF"/>
      <sz val="11"/>
    </font>
    <font>
      <name val="微软雅黑"/>
      <b val="1"/>
      <color rgb="00FFFFFF"/>
      <sz val="9"/>
    </font>
    <font>
      <name val="微软雅黑"/>
      <color rgb="00000000"/>
      <sz val="9"/>
    </font>
    <font>
      <name val="微软雅黑"/>
      <b val="1"/>
      <color rgb="001F4E79"/>
      <sz val="9"/>
    </font>
    <font>
      <name val="微软雅黑"/>
      <color rgb="00000000"/>
      <sz val="8"/>
    </font>
    <font>
      <name val="微软雅黑"/>
      <b val="1"/>
      <color rgb="00000000"/>
      <sz val="9"/>
    </font>
    <font>
      <name val="微软雅黑"/>
      <b val="1"/>
      <color rgb="00000000"/>
      <sz val="10"/>
    </font>
    <font>
      <name val="微软雅黑"/>
      <b val="1"/>
      <color rgb="00C00000"/>
      <sz val="9"/>
    </font>
    <font>
      <name val="微软雅黑"/>
      <color rgb="00595959"/>
      <sz val="8"/>
    </font>
    <font>
      <name val="微软雅黑"/>
      <b val="1"/>
      <color rgb="001F4E79"/>
      <sz val="10"/>
    </font>
    <font>
      <name val="微软雅黑"/>
      <color rgb="00C00000"/>
      <sz val="8"/>
    </font>
  </fonts>
  <fills count="10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41C2E"/>
      </patternFill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4F6FA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7" fontId="6" fillId="7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3" fontId="9" fillId="8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167" fontId="8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8" fontId="5" fillId="6" borderId="1" applyAlignment="1" pivotButton="0" quotePrefix="0" xfId="0">
      <alignment horizontal="center" vertical="center" wrapText="1"/>
    </xf>
    <xf numFmtId="2" fontId="8" fillId="8" borderId="1" applyAlignment="1" pivotButton="0" quotePrefix="0" xfId="0">
      <alignment horizontal="center" vertical="center" wrapText="1"/>
    </xf>
    <xf numFmtId="169" fontId="8" fillId="8" borderId="1" applyAlignment="1" pivotButton="0" quotePrefix="0" xfId="0">
      <alignment horizontal="center" vertical="center" wrapText="1"/>
    </xf>
    <xf numFmtId="49" fontId="10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7" fontId="5" fillId="8" borderId="1" applyAlignment="1" pivotButton="0" quotePrefix="0" xfId="0">
      <alignment horizontal="center" vertical="center" wrapText="1"/>
    </xf>
    <xf numFmtId="167" fontId="9" fillId="8" borderId="1" applyAlignment="1" pivotButton="0" quotePrefix="0" xfId="0">
      <alignment horizontal="center" vertical="center" wrapText="1"/>
    </xf>
    <xf numFmtId="168" fontId="5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7" fontId="8" fillId="9" borderId="1" applyAlignment="1" pivotButton="0" quotePrefix="0" xfId="0">
      <alignment horizontal="center" vertical="center" wrapText="1"/>
    </xf>
    <xf numFmtId="167" fontId="9" fillId="9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 indent="1"/>
    </xf>
    <xf numFmtId="0" fontId="12" fillId="0" borderId="0" pivotButton="0" quotePrefix="0" xfId="0"/>
    <xf numFmtId="3" fontId="4" fillId="5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170" fontId="5" fillId="0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49" fontId="7" fillId="8" borderId="1" applyAlignment="1" pivotButton="0" quotePrefix="0" xfId="0">
      <alignment horizontal="center" vertical="center" wrapText="1"/>
    </xf>
    <xf numFmtId="49" fontId="7" fillId="6" borderId="1" applyAlignment="1" pivotButton="0" quotePrefix="0" xfId="0">
      <alignment horizontal="center" vertical="center" wrapText="1"/>
    </xf>
    <xf numFmtId="167" fontId="7" fillId="6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4" customWidth="1" min="5" max="5"/>
  </cols>
  <sheetData>
    <row r="1" ht="34" customHeight="1">
      <c r="A1" s="1" t="inlineStr">
        <is>
          <t>REL 成本模型 · 28gsm vs 40gsm 传统 REL</t>
        </is>
      </c>
    </row>
    <row r="2" ht="20" customHeight="1">
      <c r="A2" s="2" t="inlineStr">
        <is>
          <t>版本 2026-10-23 ｜ 依据恒碳 PTT/PET 成本交底（千吨级 20,000–21,000 元/t）｜ 蓝色单元格可改，其余自动重算</t>
        </is>
      </c>
    </row>
    <row r="4" ht="22" customHeight="1">
      <c r="A4" s="3" t="inlineStr">
        <is>
          <t>① 输入参数（蓝色 = 可改）</t>
        </is>
      </c>
    </row>
    <row r="5" ht="28" customHeight="1">
      <c r="A5" s="4" t="inlineStr">
        <is>
          <t>参数</t>
        </is>
      </c>
      <c r="B5" s="4" t="inlineStr">
        <is>
          <t>数值</t>
        </is>
      </c>
      <c r="C5" s="4" t="inlineStr">
        <is>
          <t>单位</t>
        </is>
      </c>
      <c r="D5" s="4" t="inlineStr">
        <is>
          <t>说明 / 来源</t>
        </is>
      </c>
    </row>
    <row r="6">
      <c r="A6" s="5" t="inlineStr">
        <is>
          <t>PTT/PET S/S 纤维价</t>
        </is>
      </c>
      <c r="B6" s="6" t="n">
        <v>20500</v>
      </c>
      <c r="C6" s="7" t="inlineStr">
        <is>
          <t>元/t</t>
        </is>
      </c>
      <c r="D6" s="8" t="inlineStr">
        <is>
          <t>恒碳千吨级 20,000–21,000，取中值</t>
        </is>
      </c>
    </row>
    <row r="7">
      <c r="A7" s="5" t="inlineStr">
        <is>
          <t>设计克重</t>
        </is>
      </c>
      <c r="B7" s="9" t="n">
        <v>28.8</v>
      </c>
      <c r="C7" s="7" t="inlineStr">
        <is>
          <t>gsm</t>
        </is>
      </c>
      <c r="D7" s="8" t="inlineStr">
        <is>
          <t>图纸 / 标称克重</t>
        </is>
      </c>
    </row>
    <row r="8">
      <c r="A8" s="5" t="inlineStr">
        <is>
          <t>实际成网克重</t>
        </is>
      </c>
      <c r="B8" s="9" t="n">
        <v>33</v>
      </c>
      <c r="C8" s="7" t="inlineStr">
        <is>
          <t>gsm</t>
        </is>
      </c>
      <c r="D8" s="8" t="inlineStr">
        <is>
          <t>回缩后实测（会议：28-29 → 33）</t>
        </is>
      </c>
    </row>
    <row r="9">
      <c r="A9" s="5" t="inlineStr">
        <is>
          <t>PTT 添加比例</t>
        </is>
      </c>
      <c r="B9" s="10" t="n">
        <v>0.22</v>
      </c>
      <c r="C9" s="7" t="inlineStr">
        <is>
          <t>%</t>
        </is>
      </c>
      <c r="D9" s="8" t="inlineStr">
        <is>
          <t>会议确认，合理区间 10%–30%</t>
        </is>
      </c>
    </row>
    <row r="10">
      <c r="A10" s="5" t="inlineStr">
        <is>
          <t>ES CoPET/PET 2D 单价</t>
        </is>
      </c>
      <c r="B10" s="6" t="n">
        <v>11600</v>
      </c>
      <c r="C10" s="7" t="inlineStr">
        <is>
          <t>元/t</t>
        </is>
      </c>
      <c r="D10" s="8" t="inlineStr">
        <is>
          <t>卫材级复合短纤</t>
        </is>
      </c>
    </row>
    <row r="11">
      <c r="A11" s="5" t="inlineStr">
        <is>
          <t>ES CoPET/PET 3D 单价</t>
        </is>
      </c>
      <c r="B11" s="6" t="n">
        <v>11600</v>
      </c>
      <c r="C11" s="7" t="inlineStr">
        <is>
          <t>元/t</t>
        </is>
      </c>
      <c r="D11" s="8" t="inlineStr">
        <is>
          <t>同上</t>
        </is>
      </c>
    </row>
    <row r="12">
      <c r="A12" s="5" t="inlineStr">
        <is>
          <t>偏心中空 ES 单价</t>
        </is>
      </c>
      <c r="B12" s="6" t="n">
        <v>13500</v>
      </c>
      <c r="C12" s="7" t="inlineStr">
        <is>
          <t>元/t</t>
        </is>
      </c>
      <c r="D12" s="8" t="inlineStr">
        <is>
          <t>待核实（若 12,000 全成本再降 0.0043）</t>
        </is>
      </c>
    </row>
    <row r="13">
      <c r="A13" s="5" t="inlineStr">
        <is>
          <t>PVA 6D 单价</t>
        </is>
      </c>
      <c r="B13" s="6" t="n">
        <v>20000</v>
      </c>
      <c r="C13" s="7" t="inlineStr">
        <is>
          <t>元/t</t>
        </is>
      </c>
      <c r="D13" s="8" t="inlineStr">
        <is>
          <t>皖维高新</t>
        </is>
      </c>
    </row>
    <row r="14">
      <c r="A14" s="5" t="inlineStr">
        <is>
          <t>加工费</t>
        </is>
      </c>
      <c r="B14" s="6" t="n">
        <v>4500</v>
      </c>
      <c r="C14" s="7" t="inlineStr">
        <is>
          <t>元/t</t>
        </is>
      </c>
      <c r="D14" s="8" t="inlineStr">
        <is>
          <t>ATB 热风粘合 + 分切</t>
        </is>
      </c>
    </row>
    <row r="15">
      <c r="A15" s="5" t="inlineStr">
        <is>
          <t>单片面积</t>
        </is>
      </c>
      <c r="B15" s="11" t="n">
        <v>0.038</v>
      </c>
      <c r="C15" s="7" t="inlineStr">
        <is>
          <t>m²</t>
        </is>
      </c>
      <c r="D15" s="8" t="inlineStr">
        <is>
          <t>约 100×380mm，可按实际改</t>
        </is>
      </c>
    </row>
    <row r="16">
      <c r="A16" s="5" t="inlineStr">
        <is>
          <t>年产量</t>
        </is>
      </c>
      <c r="B16" s="9" t="n">
        <v>1</v>
      </c>
      <c r="C16" s="7" t="inlineStr">
        <is>
          <t>亿片</t>
        </is>
      </c>
      <c r="D16" s="8" t="inlineStr">
        <is>
          <t>用于年度金额测算</t>
        </is>
      </c>
    </row>
    <row r="17">
      <c r="A17" s="5" t="inlineStr">
        <is>
          <t>传统 40gsm 基准全成本</t>
        </is>
      </c>
      <c r="B17" s="12" t="n">
        <v>0.5775</v>
      </c>
      <c r="C17" s="7" t="inlineStr">
        <is>
          <t>元/m²</t>
        </is>
      </c>
      <c r="D17" s="8" t="inlineStr">
        <is>
          <t>4 条竞品基线均值（见 Compare 页）</t>
        </is>
      </c>
    </row>
    <row r="19" ht="22" customHeight="1">
      <c r="A19" s="3" t="inlineStr">
        <is>
          <t>② 配方与吨成本（非 PTT 组分按 34:8:30:6 归一化）</t>
        </is>
      </c>
    </row>
    <row r="20" ht="28" customHeight="1">
      <c r="A20" s="4" t="inlineStr">
        <is>
          <t>纤维</t>
        </is>
      </c>
      <c r="B20" s="4" t="inlineStr">
        <is>
          <t>占比</t>
        </is>
      </c>
      <c r="C20" s="4" t="inlineStr">
        <is>
          <t>单价 元/t</t>
        </is>
      </c>
      <c r="D20" s="4" t="inlineStr">
        <is>
          <t>摊入 元/t</t>
        </is>
      </c>
    </row>
    <row r="21">
      <c r="A21" s="5" t="inlineStr">
        <is>
          <t>ES CoPET/PET 2D</t>
        </is>
      </c>
      <c r="B21" s="13">
        <f>(1-$B$9)*34/78</f>
        <v/>
      </c>
      <c r="C21" s="14">
        <f>$B$10</f>
        <v/>
      </c>
      <c r="D21" s="14">
        <f>B21*C21</f>
        <v/>
      </c>
    </row>
    <row r="22">
      <c r="A22" s="5" t="inlineStr">
        <is>
          <t>ES CoPET/PET 3D</t>
        </is>
      </c>
      <c r="B22" s="13">
        <f>(1-$B$9)*8/78</f>
        <v/>
      </c>
      <c r="C22" s="14">
        <f>$B$11</f>
        <v/>
      </c>
      <c r="D22" s="14">
        <f>B22*C22</f>
        <v/>
      </c>
    </row>
    <row r="23">
      <c r="A23" s="5" t="inlineStr">
        <is>
          <t>偏心中空 ES</t>
        </is>
      </c>
      <c r="B23" s="13">
        <f>(1-$B$9)*30/78</f>
        <v/>
      </c>
      <c r="C23" s="14">
        <f>$B$12</f>
        <v/>
      </c>
      <c r="D23" s="14">
        <f>B23*C23</f>
        <v/>
      </c>
    </row>
    <row r="24">
      <c r="A24" s="5" t="inlineStr">
        <is>
          <t>PVA 水不溶 6D</t>
        </is>
      </c>
      <c r="B24" s="13">
        <f>(1-$B$9)*6/78</f>
        <v/>
      </c>
      <c r="C24" s="14">
        <f>$B$13</f>
        <v/>
      </c>
      <c r="D24" s="14">
        <f>B24*C24</f>
        <v/>
      </c>
    </row>
    <row r="25">
      <c r="A25" s="5" t="inlineStr">
        <is>
          <t>PTT/PET S/S 7D</t>
        </is>
      </c>
      <c r="B25" s="13">
        <f>$B$9</f>
        <v/>
      </c>
      <c r="C25" s="14">
        <f>$B$6</f>
        <v/>
      </c>
      <c r="D25" s="14">
        <f>B25*C25</f>
        <v/>
      </c>
    </row>
    <row r="26">
      <c r="A26" s="15" t="inlineStr">
        <is>
          <t>配方成本合计</t>
        </is>
      </c>
      <c r="B26" s="16">
        <f>SUM(B21:B25)</f>
        <v/>
      </c>
      <c r="C26" s="17" t="inlineStr"/>
      <c r="D26" s="18">
        <f>SUM(D21:D25)</f>
        <v/>
      </c>
    </row>
    <row r="28" ht="22" customHeight="1">
      <c r="A28" s="3" t="inlineStr">
        <is>
          <t>③ 单位成本测算</t>
        </is>
      </c>
    </row>
    <row r="29" ht="28" customHeight="1">
      <c r="A29" s="4" t="inlineStr">
        <is>
          <t>项目</t>
        </is>
      </c>
      <c r="B29" s="4" t="inlineStr">
        <is>
          <t>设计克重</t>
        </is>
      </c>
      <c r="C29" s="4" t="inlineStr">
        <is>
          <t>实际成网</t>
        </is>
      </c>
      <c r="D29" s="4" t="inlineStr">
        <is>
          <t>单位</t>
        </is>
      </c>
    </row>
    <row r="30">
      <c r="A30" s="5" t="inlineStr">
        <is>
          <t>克重</t>
        </is>
      </c>
      <c r="B30" s="19">
        <f>$B$7</f>
        <v/>
      </c>
      <c r="C30" s="19">
        <f>$B$8</f>
        <v/>
      </c>
      <c r="D30" s="20" t="inlineStr">
        <is>
          <t>gsm</t>
        </is>
      </c>
    </row>
    <row r="31">
      <c r="A31" s="5" t="inlineStr">
        <is>
          <t>纤维成本 / m²</t>
        </is>
      </c>
      <c r="B31" s="21">
        <f>($D$26*B30)/1000000</f>
        <v/>
      </c>
      <c r="C31" s="21">
        <f>($D$26*C30)/1000000</f>
        <v/>
      </c>
      <c r="D31" s="20" t="inlineStr">
        <is>
          <t>元/m²</t>
        </is>
      </c>
    </row>
    <row r="32">
      <c r="A32" s="5" t="inlineStr">
        <is>
          <t>加工成本 / m²</t>
        </is>
      </c>
      <c r="B32" s="21">
        <f>($B$14*B30)/1000000</f>
        <v/>
      </c>
      <c r="C32" s="21">
        <f>($B$14*C30)/1000000</f>
        <v/>
      </c>
      <c r="D32" s="20" t="inlineStr">
        <is>
          <t>元/m²</t>
        </is>
      </c>
    </row>
    <row r="33">
      <c r="A33" s="15" t="inlineStr">
        <is>
          <t>全成本 / m²</t>
        </is>
      </c>
      <c r="B33" s="22">
        <f>B31+B32</f>
        <v/>
      </c>
      <c r="C33" s="22">
        <f>C31+C32</f>
        <v/>
      </c>
      <c r="D33" s="23" t="inlineStr">
        <is>
          <t>元/m²</t>
        </is>
      </c>
    </row>
    <row r="34">
      <c r="A34" s="15" t="inlineStr">
        <is>
          <t>元 / 片</t>
        </is>
      </c>
      <c r="B34" s="22">
        <f>B33*$B$15</f>
        <v/>
      </c>
      <c r="C34" s="22">
        <f>C33*$B$15</f>
        <v/>
      </c>
      <c r="D34" s="23" t="inlineStr">
        <is>
          <t>元/片</t>
        </is>
      </c>
    </row>
    <row r="35">
      <c r="A35" s="5" t="inlineStr">
        <is>
          <t>vs 传统 40gsm</t>
        </is>
      </c>
      <c r="B35" s="24">
        <f>B33/$B$17-1</f>
        <v/>
      </c>
      <c r="C35" s="24">
        <f>C33/$B$17-1</f>
        <v/>
      </c>
      <c r="D35" s="20" t="inlineStr">
        <is>
          <t>%</t>
        </is>
      </c>
    </row>
    <row r="36">
      <c r="A36" s="5" t="inlineStr">
        <is>
          <t>年度总成本</t>
        </is>
      </c>
      <c r="B36" s="14">
        <f>B34*$B$16*10000</f>
        <v/>
      </c>
      <c r="C36" s="14">
        <f>C34*$B$16*10000</f>
        <v/>
      </c>
      <c r="D36" s="20" t="inlineStr">
        <is>
          <t>万元/年</t>
        </is>
      </c>
    </row>
    <row r="38" ht="22" customHeight="1">
      <c r="A38" s="3" t="inlineStr">
        <is>
          <t>④ 关键判断</t>
        </is>
      </c>
    </row>
    <row r="39">
      <c r="A39" s="15" t="inlineStr">
        <is>
          <t>临界克重（与基准打平）</t>
        </is>
      </c>
      <c r="B39" s="25">
        <f>$B$17/(($D$26+$B$14)/1000000)</f>
        <v/>
      </c>
      <c r="C39" s="23" t="inlineStr">
        <is>
          <t>gsm</t>
        </is>
      </c>
    </row>
    <row r="40">
      <c r="A40" s="15" t="inlineStr">
        <is>
          <t>实际克重超出临界</t>
        </is>
      </c>
      <c r="B40" s="26">
        <f>$B$8-B39</f>
        <v/>
      </c>
      <c r="C40" s="23" t="inlineStr">
        <is>
          <t>gsm</t>
        </is>
      </c>
    </row>
    <row r="41">
      <c r="A41" s="15" t="inlineStr">
        <is>
          <t>成本结论</t>
        </is>
      </c>
      <c r="B41" s="27">
        <f>IF(B33&lt;=$B$17,"设计：优于传统","设计：高于传统")&amp;" ｜ "&amp;IF(C33&lt;=$B$17,"实际：优于传统","实际：高于传统")</f>
        <v/>
      </c>
      <c r="C41" s="28" t="n"/>
      <c r="D41" s="23" t="inlineStr"/>
    </row>
    <row r="42">
      <c r="A42" s="15" t="inlineStr">
        <is>
          <t>每降 1,000 元/t 纤维价</t>
        </is>
      </c>
      <c r="B42" s="25">
        <f>$B$9*1000*$B$7/1000000</f>
        <v/>
      </c>
      <c r="C42" s="23" t="inlineStr">
        <is>
          <t>元/m²</t>
        </is>
      </c>
    </row>
    <row r="45">
      <c r="A45" s="29" t="inlineStr">
        <is>
          <t>辅助：非 PTT 组分加权单价 元/t</t>
        </is>
      </c>
      <c r="B45" s="30">
        <f>(34*$B$10+8*$B$11+30*$B$12+6*$B$13)/78</f>
        <v/>
      </c>
    </row>
  </sheetData>
  <mergeCells count="7">
    <mergeCell ref="A1:D1"/>
    <mergeCell ref="A4:D4"/>
    <mergeCell ref="A38:D38"/>
    <mergeCell ref="A19:D19"/>
    <mergeCell ref="A2:D2"/>
    <mergeCell ref="B41:C4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3" customWidth="1" min="4" max="4"/>
    <col width="12" customWidth="1" min="5" max="5"/>
    <col width="15" customWidth="1" min="6" max="6"/>
    <col width="12" customWidth="1" min="7" max="7"/>
    <col width="13" customWidth="1" min="8" max="8"/>
  </cols>
  <sheetData>
    <row r="1" ht="34" customHeight="1">
      <c r="A1" s="1" t="inlineStr">
        <is>
          <t>28gsm 新 REL vs 40gsm 传统 REL · 方案对比</t>
        </is>
      </c>
    </row>
    <row r="2" ht="20" customHeight="1">
      <c r="A2" s="2" t="inlineStr">
        <is>
          <t>新 REL 数据实时引用 Model 页；传统基线为竞品实测配方（PET 短纤 9,100、PE/PP 9,300、Lyocell 22,000）</t>
        </is>
      </c>
    </row>
    <row r="4" ht="28" customHeight="1">
      <c r="A4" s="4" t="inlineStr">
        <is>
          <t>方案</t>
        </is>
      </c>
      <c r="B4" s="4" t="inlineStr">
        <is>
          <t>克重 gsm</t>
        </is>
      </c>
      <c r="C4" s="4" t="inlineStr">
        <is>
          <t>配方 元/t</t>
        </is>
      </c>
      <c r="D4" s="4" t="inlineStr">
        <is>
          <t>纤维 元/m²</t>
        </is>
      </c>
      <c r="E4" s="4" t="inlineStr">
        <is>
          <t>加工 元/m²</t>
        </is>
      </c>
      <c r="F4" s="4" t="inlineStr">
        <is>
          <t>全成本 元/m²</t>
        </is>
      </c>
      <c r="G4" s="4" t="inlineStr">
        <is>
          <t>元/片</t>
        </is>
      </c>
      <c r="H4" s="4" t="inlineStr">
        <is>
          <t>vs 传统均值</t>
        </is>
      </c>
    </row>
    <row r="5">
      <c r="A5" s="15" t="inlineStr">
        <is>
          <t>新 REL · 设计克重</t>
        </is>
      </c>
      <c r="B5" s="31">
        <f>Model!$B$7</f>
        <v/>
      </c>
      <c r="C5" s="32">
        <f>Model!$D$26</f>
        <v/>
      </c>
      <c r="D5" s="33">
        <f>C5*B5/1000000</f>
        <v/>
      </c>
      <c r="E5" s="33">
        <f>Model!$B$14*B5/1000000</f>
        <v/>
      </c>
      <c r="F5" s="34">
        <f>D5+E5</f>
        <v/>
      </c>
      <c r="G5" s="22">
        <f>F5*Model!$B$15</f>
        <v/>
      </c>
      <c r="H5" s="35">
        <f>F5/$F$11-1</f>
        <v/>
      </c>
    </row>
    <row r="6">
      <c r="A6" s="15" t="inlineStr">
        <is>
          <t>新 REL · 实际成网</t>
        </is>
      </c>
      <c r="B6" s="31">
        <f>Model!$B$8</f>
        <v/>
      </c>
      <c r="C6" s="32">
        <f>Model!$D$26</f>
        <v/>
      </c>
      <c r="D6" s="33">
        <f>C6*B6/1000000</f>
        <v/>
      </c>
      <c r="E6" s="33">
        <f>Model!$B$14*B6/1000000</f>
        <v/>
      </c>
      <c r="F6" s="34">
        <f>D6+E6</f>
        <v/>
      </c>
      <c r="G6" s="22">
        <f>F6*Model!$B$15</f>
        <v/>
      </c>
      <c r="H6" s="35">
        <f>F6/$F$11-1</f>
        <v/>
      </c>
    </row>
    <row r="7">
      <c r="A7" s="5" t="inlineStr">
        <is>
          <t>B1 · YJ DL24C</t>
        </is>
      </c>
      <c r="B7" s="19" t="n">
        <v>39.8</v>
      </c>
      <c r="C7" s="14" t="n">
        <v>10600</v>
      </c>
      <c r="D7" s="21">
        <f>C7*B7/1000000</f>
        <v/>
      </c>
      <c r="E7" s="21">
        <f>Model!$B$14*B7/1000000</f>
        <v/>
      </c>
      <c r="F7" s="21">
        <f>D7+E7</f>
        <v/>
      </c>
      <c r="G7" s="21">
        <f>F7*Model!$B$15</f>
        <v/>
      </c>
      <c r="H7" s="24">
        <f>F7/$F$11-1</f>
        <v/>
      </c>
    </row>
    <row r="8">
      <c r="A8" s="5" t="inlineStr">
        <is>
          <t>B2 · DY ND055</t>
        </is>
      </c>
      <c r="B8" s="19" t="n">
        <v>38.8</v>
      </c>
      <c r="C8" s="14" t="n">
        <v>10350</v>
      </c>
      <c r="D8" s="21">
        <f>C8*B8/1000000</f>
        <v/>
      </c>
      <c r="E8" s="21">
        <f>Model!$B$14*B8/1000000</f>
        <v/>
      </c>
      <c r="F8" s="21">
        <f>D8+E8</f>
        <v/>
      </c>
      <c r="G8" s="21">
        <f>F8*Model!$B$15</f>
        <v/>
      </c>
      <c r="H8" s="24">
        <f>F8/$F$11-1</f>
        <v/>
      </c>
    </row>
    <row r="9">
      <c r="A9" s="5" t="inlineStr">
        <is>
          <t>B3 · ZB 箱式</t>
        </is>
      </c>
      <c r="B9" s="19" t="n">
        <v>40</v>
      </c>
      <c r="C9" s="14" t="n">
        <v>10146</v>
      </c>
      <c r="D9" s="21">
        <f>C9*B9/1000000</f>
        <v/>
      </c>
      <c r="E9" s="21">
        <f>Model!$B$14*B9/1000000</f>
        <v/>
      </c>
      <c r="F9" s="21">
        <f>D9+E9</f>
        <v/>
      </c>
      <c r="G9" s="21">
        <f>F9*Model!$B$15</f>
        <v/>
      </c>
      <c r="H9" s="24">
        <f>F9/$F$11-1</f>
        <v/>
      </c>
    </row>
    <row r="10">
      <c r="A10" s="5" t="inlineStr">
        <is>
          <t>B4 · 藤东</t>
        </is>
      </c>
      <c r="B10" s="19" t="n">
        <v>40</v>
      </c>
      <c r="C10" s="14" t="n">
        <v>9170</v>
      </c>
      <c r="D10" s="21">
        <f>C10*B10/1000000</f>
        <v/>
      </c>
      <c r="E10" s="21">
        <f>Model!$B$14*B10/1000000</f>
        <v/>
      </c>
      <c r="F10" s="21">
        <f>D10+E10</f>
        <v/>
      </c>
      <c r="G10" s="21">
        <f>F10*Model!$B$15</f>
        <v/>
      </c>
      <c r="H10" s="24">
        <f>F10/$F$11-1</f>
        <v/>
      </c>
    </row>
    <row r="11">
      <c r="A11" s="36" t="inlineStr">
        <is>
          <t>传统基线均值</t>
        </is>
      </c>
      <c r="B11" s="37">
        <f>AVERAGE(B7:B10)</f>
        <v/>
      </c>
      <c r="C11" s="38" t="inlineStr"/>
      <c r="D11" s="39">
        <f>AVERAGE(D7:D10)</f>
        <v/>
      </c>
      <c r="E11" s="39">
        <f>AVERAGE(E7:E10)</f>
        <v/>
      </c>
      <c r="F11" s="40">
        <f>AVERAGE(F7:F10)</f>
        <v/>
      </c>
      <c r="G11" s="39">
        <f>AVERAGE(G7:G10)</f>
        <v/>
      </c>
      <c r="H11" s="38" t="inlineStr"/>
    </row>
    <row r="13" ht="30" customHeight="1">
      <c r="A13" s="41" t="inlineStr">
        <is>
          <t>读数：设计克重下 28.8gsm 优于传统均值；一旦回缩到 33gsm，克重优势被配方溢价吃掉，成本反超。临界克重见 Model!B39。</t>
        </is>
      </c>
    </row>
  </sheetData>
  <mergeCells count="3">
    <mergeCell ref="A13:H13"/>
    <mergeCell ref="A2:H2"/>
    <mergeCell ref="A1:H1"/>
  </mergeCells>
  <conditionalFormatting sqref="F5:F10">
    <cfRule type="cellIs" priority="1" operator="lessThan" dxfId="0">
      <formula>$F$11</formula>
    </cfRule>
    <cfRule type="cellIs" priority="2" operator="greaterThan" dxfId="1">
      <formula>$F$11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4" customHeight="1">
      <c r="A1" s="1" t="inlineStr">
        <is>
          <t>敏感度矩阵 · 全成本 元/m²</t>
        </is>
      </c>
    </row>
    <row r="2" ht="20" customHeight="1">
      <c r="A2" s="2" t="inlineStr">
        <is>
          <t>绿色=低于 40gsm 传统均值 ｜ 红色=高于 ｜ 由 Model 页参数驱动</t>
        </is>
      </c>
    </row>
    <row r="4">
      <c r="A4" s="42" t="inlineStr">
        <is>
          <t>表 1 ｜ 纤维价（横）× 克重（纵）</t>
        </is>
      </c>
    </row>
    <row r="5">
      <c r="A5" s="4" t="inlineStr">
        <is>
          <t>克重 \ 纤维价</t>
        </is>
      </c>
      <c r="B5" s="43" t="n">
        <v>19000</v>
      </c>
      <c r="C5" s="43" t="n">
        <v>19500</v>
      </c>
      <c r="D5" s="43" t="n">
        <v>20000</v>
      </c>
      <c r="E5" s="43" t="n">
        <v>20500</v>
      </c>
      <c r="F5" s="43" t="n">
        <v>21000</v>
      </c>
      <c r="G5" s="43" t="n">
        <v>21500</v>
      </c>
      <c r="H5" s="43" t="n">
        <v>22000</v>
      </c>
    </row>
    <row r="6">
      <c r="A6" s="44" t="n">
        <v>28</v>
      </c>
      <c r="B6" s="45">
        <f>(Model!$B$45*(1-Model!$B$9)+Model!$B$9*B$5+Model!$B$14)*$A6/1000000</f>
        <v/>
      </c>
      <c r="C6" s="45">
        <f>(Model!$B$45*(1-Model!$B$9)+Model!$B$9*C$5+Model!$B$14)*$A6/1000000</f>
        <v/>
      </c>
      <c r="D6" s="45">
        <f>(Model!$B$45*(1-Model!$B$9)+Model!$B$9*D$5+Model!$B$14)*$A6/1000000</f>
        <v/>
      </c>
      <c r="E6" s="45">
        <f>(Model!$B$45*(1-Model!$B$9)+Model!$B$9*E$5+Model!$B$14)*$A6/1000000</f>
        <v/>
      </c>
      <c r="F6" s="45">
        <f>(Model!$B$45*(1-Model!$B$9)+Model!$B$9*F$5+Model!$B$14)*$A6/1000000</f>
        <v/>
      </c>
      <c r="G6" s="45">
        <f>(Model!$B$45*(1-Model!$B$9)+Model!$B$9*G$5+Model!$B$14)*$A6/1000000</f>
        <v/>
      </c>
      <c r="H6" s="45">
        <f>(Model!$B$45*(1-Model!$B$9)+Model!$B$9*H$5+Model!$B$14)*$A6/1000000</f>
        <v/>
      </c>
    </row>
    <row r="7">
      <c r="A7" s="44" t="n">
        <v>29</v>
      </c>
      <c r="B7" s="45">
        <f>(Model!$B$45*(1-Model!$B$9)+Model!$B$9*B$5+Model!$B$14)*$A7/1000000</f>
        <v/>
      </c>
      <c r="C7" s="45">
        <f>(Model!$B$45*(1-Model!$B$9)+Model!$B$9*C$5+Model!$B$14)*$A7/1000000</f>
        <v/>
      </c>
      <c r="D7" s="45">
        <f>(Model!$B$45*(1-Model!$B$9)+Model!$B$9*D$5+Model!$B$14)*$A7/1000000</f>
        <v/>
      </c>
      <c r="E7" s="45">
        <f>(Model!$B$45*(1-Model!$B$9)+Model!$B$9*E$5+Model!$B$14)*$A7/1000000</f>
        <v/>
      </c>
      <c r="F7" s="45">
        <f>(Model!$B$45*(1-Model!$B$9)+Model!$B$9*F$5+Model!$B$14)*$A7/1000000</f>
        <v/>
      </c>
      <c r="G7" s="45">
        <f>(Model!$B$45*(1-Model!$B$9)+Model!$B$9*G$5+Model!$B$14)*$A7/1000000</f>
        <v/>
      </c>
      <c r="H7" s="45">
        <f>(Model!$B$45*(1-Model!$B$9)+Model!$B$9*H$5+Model!$B$14)*$A7/1000000</f>
        <v/>
      </c>
    </row>
    <row r="8">
      <c r="A8" s="44" t="n">
        <v>30</v>
      </c>
      <c r="B8" s="45">
        <f>(Model!$B$45*(1-Model!$B$9)+Model!$B$9*B$5+Model!$B$14)*$A8/1000000</f>
        <v/>
      </c>
      <c r="C8" s="45">
        <f>(Model!$B$45*(1-Model!$B$9)+Model!$B$9*C$5+Model!$B$14)*$A8/1000000</f>
        <v/>
      </c>
      <c r="D8" s="45">
        <f>(Model!$B$45*(1-Model!$B$9)+Model!$B$9*D$5+Model!$B$14)*$A8/1000000</f>
        <v/>
      </c>
      <c r="E8" s="45">
        <f>(Model!$B$45*(1-Model!$B$9)+Model!$B$9*E$5+Model!$B$14)*$A8/1000000</f>
        <v/>
      </c>
      <c r="F8" s="45">
        <f>(Model!$B$45*(1-Model!$B$9)+Model!$B$9*F$5+Model!$B$14)*$A8/1000000</f>
        <v/>
      </c>
      <c r="G8" s="45">
        <f>(Model!$B$45*(1-Model!$B$9)+Model!$B$9*G$5+Model!$B$14)*$A8/1000000</f>
        <v/>
      </c>
      <c r="H8" s="45">
        <f>(Model!$B$45*(1-Model!$B$9)+Model!$B$9*H$5+Model!$B$14)*$A8/1000000</f>
        <v/>
      </c>
    </row>
    <row r="9">
      <c r="A9" s="44" t="n">
        <v>31</v>
      </c>
      <c r="B9" s="45">
        <f>(Model!$B$45*(1-Model!$B$9)+Model!$B$9*B$5+Model!$B$14)*$A9/1000000</f>
        <v/>
      </c>
      <c r="C9" s="45">
        <f>(Model!$B$45*(1-Model!$B$9)+Model!$B$9*C$5+Model!$B$14)*$A9/1000000</f>
        <v/>
      </c>
      <c r="D9" s="45">
        <f>(Model!$B$45*(1-Model!$B$9)+Model!$B$9*D$5+Model!$B$14)*$A9/1000000</f>
        <v/>
      </c>
      <c r="E9" s="45">
        <f>(Model!$B$45*(1-Model!$B$9)+Model!$B$9*E$5+Model!$B$14)*$A9/1000000</f>
        <v/>
      </c>
      <c r="F9" s="45">
        <f>(Model!$B$45*(1-Model!$B$9)+Model!$B$9*F$5+Model!$B$14)*$A9/1000000</f>
        <v/>
      </c>
      <c r="G9" s="45">
        <f>(Model!$B$45*(1-Model!$B$9)+Model!$B$9*G$5+Model!$B$14)*$A9/1000000</f>
        <v/>
      </c>
      <c r="H9" s="45">
        <f>(Model!$B$45*(1-Model!$B$9)+Model!$B$9*H$5+Model!$B$14)*$A9/1000000</f>
        <v/>
      </c>
    </row>
    <row r="10">
      <c r="A10" s="44" t="n">
        <v>32</v>
      </c>
      <c r="B10" s="45">
        <f>(Model!$B$45*(1-Model!$B$9)+Model!$B$9*B$5+Model!$B$14)*$A10/1000000</f>
        <v/>
      </c>
      <c r="C10" s="45">
        <f>(Model!$B$45*(1-Model!$B$9)+Model!$B$9*C$5+Model!$B$14)*$A10/1000000</f>
        <v/>
      </c>
      <c r="D10" s="45">
        <f>(Model!$B$45*(1-Model!$B$9)+Model!$B$9*D$5+Model!$B$14)*$A10/1000000</f>
        <v/>
      </c>
      <c r="E10" s="45">
        <f>(Model!$B$45*(1-Model!$B$9)+Model!$B$9*E$5+Model!$B$14)*$A10/1000000</f>
        <v/>
      </c>
      <c r="F10" s="45">
        <f>(Model!$B$45*(1-Model!$B$9)+Model!$B$9*F$5+Model!$B$14)*$A10/1000000</f>
        <v/>
      </c>
      <c r="G10" s="45">
        <f>(Model!$B$45*(1-Model!$B$9)+Model!$B$9*G$5+Model!$B$14)*$A10/1000000</f>
        <v/>
      </c>
      <c r="H10" s="45">
        <f>(Model!$B$45*(1-Model!$B$9)+Model!$B$9*H$5+Model!$B$14)*$A10/1000000</f>
        <v/>
      </c>
    </row>
    <row r="11">
      <c r="A11" s="44" t="n">
        <v>33</v>
      </c>
      <c r="B11" s="45">
        <f>(Model!$B$45*(1-Model!$B$9)+Model!$B$9*B$5+Model!$B$14)*$A11/1000000</f>
        <v/>
      </c>
      <c r="C11" s="45">
        <f>(Model!$B$45*(1-Model!$B$9)+Model!$B$9*C$5+Model!$B$14)*$A11/1000000</f>
        <v/>
      </c>
      <c r="D11" s="45">
        <f>(Model!$B$45*(1-Model!$B$9)+Model!$B$9*D$5+Model!$B$14)*$A11/1000000</f>
        <v/>
      </c>
      <c r="E11" s="45">
        <f>(Model!$B$45*(1-Model!$B$9)+Model!$B$9*E$5+Model!$B$14)*$A11/1000000</f>
        <v/>
      </c>
      <c r="F11" s="45">
        <f>(Model!$B$45*(1-Model!$B$9)+Model!$B$9*F$5+Model!$B$14)*$A11/1000000</f>
        <v/>
      </c>
      <c r="G11" s="45">
        <f>(Model!$B$45*(1-Model!$B$9)+Model!$B$9*G$5+Model!$B$14)*$A11/1000000</f>
        <v/>
      </c>
      <c r="H11" s="45">
        <f>(Model!$B$45*(1-Model!$B$9)+Model!$B$9*H$5+Model!$B$14)*$A11/1000000</f>
        <v/>
      </c>
    </row>
    <row r="12">
      <c r="A12" s="44" t="n">
        <v>34</v>
      </c>
      <c r="B12" s="45">
        <f>(Model!$B$45*(1-Model!$B$9)+Model!$B$9*B$5+Model!$B$14)*$A12/1000000</f>
        <v/>
      </c>
      <c r="C12" s="45">
        <f>(Model!$B$45*(1-Model!$B$9)+Model!$B$9*C$5+Model!$B$14)*$A12/1000000</f>
        <v/>
      </c>
      <c r="D12" s="45">
        <f>(Model!$B$45*(1-Model!$B$9)+Model!$B$9*D$5+Model!$B$14)*$A12/1000000</f>
        <v/>
      </c>
      <c r="E12" s="45">
        <f>(Model!$B$45*(1-Model!$B$9)+Model!$B$9*E$5+Model!$B$14)*$A12/1000000</f>
        <v/>
      </c>
      <c r="F12" s="45">
        <f>(Model!$B$45*(1-Model!$B$9)+Model!$B$9*F$5+Model!$B$14)*$A12/1000000</f>
        <v/>
      </c>
      <c r="G12" s="45">
        <f>(Model!$B$45*(1-Model!$B$9)+Model!$B$9*G$5+Model!$B$14)*$A12/1000000</f>
        <v/>
      </c>
      <c r="H12" s="45">
        <f>(Model!$B$45*(1-Model!$B$9)+Model!$B$9*H$5+Model!$B$14)*$A12/1000000</f>
        <v/>
      </c>
    </row>
    <row r="15">
      <c r="A15" s="42" t="inlineStr">
        <is>
          <t>表 2 ｜ PTT 比例（横）× 克重（纵）</t>
        </is>
      </c>
    </row>
    <row r="16">
      <c r="A16" s="4" t="inlineStr">
        <is>
          <t>克重 \ PTT%</t>
        </is>
      </c>
      <c r="B16" s="46" t="n">
        <v>0.1</v>
      </c>
      <c r="C16" s="46" t="n">
        <v>0.15</v>
      </c>
      <c r="D16" s="46" t="n">
        <v>0.18</v>
      </c>
      <c r="E16" s="46" t="n">
        <v>0.2</v>
      </c>
      <c r="F16" s="46" t="n">
        <v>0.22</v>
      </c>
      <c r="G16" s="46" t="n">
        <v>0.25</v>
      </c>
      <c r="H16" s="46" t="n">
        <v>0.3</v>
      </c>
    </row>
    <row r="17">
      <c r="A17" s="44" t="n">
        <v>28</v>
      </c>
      <c r="B17" s="45">
        <f>(Model!$B$45*(1-B$16)+B$16*Model!$B$6+Model!$B$14)*$A17/1000000</f>
        <v/>
      </c>
      <c r="C17" s="45">
        <f>(Model!$B$45*(1-C$16)+C$16*Model!$B$6+Model!$B$14)*$A17/1000000</f>
        <v/>
      </c>
      <c r="D17" s="45">
        <f>(Model!$B$45*(1-D$16)+D$16*Model!$B$6+Model!$B$14)*$A17/1000000</f>
        <v/>
      </c>
      <c r="E17" s="45">
        <f>(Model!$B$45*(1-E$16)+E$16*Model!$B$6+Model!$B$14)*$A17/1000000</f>
        <v/>
      </c>
      <c r="F17" s="45">
        <f>(Model!$B$45*(1-F$16)+F$16*Model!$B$6+Model!$B$14)*$A17/1000000</f>
        <v/>
      </c>
      <c r="G17" s="45">
        <f>(Model!$B$45*(1-G$16)+G$16*Model!$B$6+Model!$B$14)*$A17/1000000</f>
        <v/>
      </c>
      <c r="H17" s="45">
        <f>(Model!$B$45*(1-H$16)+H$16*Model!$B$6+Model!$B$14)*$A17/1000000</f>
        <v/>
      </c>
    </row>
    <row r="18">
      <c r="A18" s="44" t="n">
        <v>29</v>
      </c>
      <c r="B18" s="45">
        <f>(Model!$B$45*(1-B$16)+B$16*Model!$B$6+Model!$B$14)*$A18/1000000</f>
        <v/>
      </c>
      <c r="C18" s="45">
        <f>(Model!$B$45*(1-C$16)+C$16*Model!$B$6+Model!$B$14)*$A18/1000000</f>
        <v/>
      </c>
      <c r="D18" s="45">
        <f>(Model!$B$45*(1-D$16)+D$16*Model!$B$6+Model!$B$14)*$A18/1000000</f>
        <v/>
      </c>
      <c r="E18" s="45">
        <f>(Model!$B$45*(1-E$16)+E$16*Model!$B$6+Model!$B$14)*$A18/1000000</f>
        <v/>
      </c>
      <c r="F18" s="45">
        <f>(Model!$B$45*(1-F$16)+F$16*Model!$B$6+Model!$B$14)*$A18/1000000</f>
        <v/>
      </c>
      <c r="G18" s="45">
        <f>(Model!$B$45*(1-G$16)+G$16*Model!$B$6+Model!$B$14)*$A18/1000000</f>
        <v/>
      </c>
      <c r="H18" s="45">
        <f>(Model!$B$45*(1-H$16)+H$16*Model!$B$6+Model!$B$14)*$A18/1000000</f>
        <v/>
      </c>
    </row>
    <row r="19">
      <c r="A19" s="44" t="n">
        <v>30</v>
      </c>
      <c r="B19" s="45">
        <f>(Model!$B$45*(1-B$16)+B$16*Model!$B$6+Model!$B$14)*$A19/1000000</f>
        <v/>
      </c>
      <c r="C19" s="45">
        <f>(Model!$B$45*(1-C$16)+C$16*Model!$B$6+Model!$B$14)*$A19/1000000</f>
        <v/>
      </c>
      <c r="D19" s="45">
        <f>(Model!$B$45*(1-D$16)+D$16*Model!$B$6+Model!$B$14)*$A19/1000000</f>
        <v/>
      </c>
      <c r="E19" s="45">
        <f>(Model!$B$45*(1-E$16)+E$16*Model!$B$6+Model!$B$14)*$A19/1000000</f>
        <v/>
      </c>
      <c r="F19" s="45">
        <f>(Model!$B$45*(1-F$16)+F$16*Model!$B$6+Model!$B$14)*$A19/1000000</f>
        <v/>
      </c>
      <c r="G19" s="45">
        <f>(Model!$B$45*(1-G$16)+G$16*Model!$B$6+Model!$B$14)*$A19/1000000</f>
        <v/>
      </c>
      <c r="H19" s="45">
        <f>(Model!$B$45*(1-H$16)+H$16*Model!$B$6+Model!$B$14)*$A19/1000000</f>
        <v/>
      </c>
    </row>
    <row r="20">
      <c r="A20" s="44" t="n">
        <v>31</v>
      </c>
      <c r="B20" s="45">
        <f>(Model!$B$45*(1-B$16)+B$16*Model!$B$6+Model!$B$14)*$A20/1000000</f>
        <v/>
      </c>
      <c r="C20" s="45">
        <f>(Model!$B$45*(1-C$16)+C$16*Model!$B$6+Model!$B$14)*$A20/1000000</f>
        <v/>
      </c>
      <c r="D20" s="45">
        <f>(Model!$B$45*(1-D$16)+D$16*Model!$B$6+Model!$B$14)*$A20/1000000</f>
        <v/>
      </c>
      <c r="E20" s="45">
        <f>(Model!$B$45*(1-E$16)+E$16*Model!$B$6+Model!$B$14)*$A20/1000000</f>
        <v/>
      </c>
      <c r="F20" s="45">
        <f>(Model!$B$45*(1-F$16)+F$16*Model!$B$6+Model!$B$14)*$A20/1000000</f>
        <v/>
      </c>
      <c r="G20" s="45">
        <f>(Model!$B$45*(1-G$16)+G$16*Model!$B$6+Model!$B$14)*$A20/1000000</f>
        <v/>
      </c>
      <c r="H20" s="45">
        <f>(Model!$B$45*(1-H$16)+H$16*Model!$B$6+Model!$B$14)*$A20/1000000</f>
        <v/>
      </c>
    </row>
    <row r="21">
      <c r="A21" s="44" t="n">
        <v>32</v>
      </c>
      <c r="B21" s="45">
        <f>(Model!$B$45*(1-B$16)+B$16*Model!$B$6+Model!$B$14)*$A21/1000000</f>
        <v/>
      </c>
      <c r="C21" s="45">
        <f>(Model!$B$45*(1-C$16)+C$16*Model!$B$6+Model!$B$14)*$A21/1000000</f>
        <v/>
      </c>
      <c r="D21" s="45">
        <f>(Model!$B$45*(1-D$16)+D$16*Model!$B$6+Model!$B$14)*$A21/1000000</f>
        <v/>
      </c>
      <c r="E21" s="45">
        <f>(Model!$B$45*(1-E$16)+E$16*Model!$B$6+Model!$B$14)*$A21/1000000</f>
        <v/>
      </c>
      <c r="F21" s="45">
        <f>(Model!$B$45*(1-F$16)+F$16*Model!$B$6+Model!$B$14)*$A21/1000000</f>
        <v/>
      </c>
      <c r="G21" s="45">
        <f>(Model!$B$45*(1-G$16)+G$16*Model!$B$6+Model!$B$14)*$A21/1000000</f>
        <v/>
      </c>
      <c r="H21" s="45">
        <f>(Model!$B$45*(1-H$16)+H$16*Model!$B$6+Model!$B$14)*$A21/1000000</f>
        <v/>
      </c>
    </row>
    <row r="22">
      <c r="A22" s="44" t="n">
        <v>33</v>
      </c>
      <c r="B22" s="45">
        <f>(Model!$B$45*(1-B$16)+B$16*Model!$B$6+Model!$B$14)*$A22/1000000</f>
        <v/>
      </c>
      <c r="C22" s="45">
        <f>(Model!$B$45*(1-C$16)+C$16*Model!$B$6+Model!$B$14)*$A22/1000000</f>
        <v/>
      </c>
      <c r="D22" s="45">
        <f>(Model!$B$45*(1-D$16)+D$16*Model!$B$6+Model!$B$14)*$A22/1000000</f>
        <v/>
      </c>
      <c r="E22" s="45">
        <f>(Model!$B$45*(1-E$16)+E$16*Model!$B$6+Model!$B$14)*$A22/1000000</f>
        <v/>
      </c>
      <c r="F22" s="45">
        <f>(Model!$B$45*(1-F$16)+F$16*Model!$B$6+Model!$B$14)*$A22/1000000</f>
        <v/>
      </c>
      <c r="G22" s="45">
        <f>(Model!$B$45*(1-G$16)+G$16*Model!$B$6+Model!$B$14)*$A22/1000000</f>
        <v/>
      </c>
      <c r="H22" s="45">
        <f>(Model!$B$45*(1-H$16)+H$16*Model!$B$6+Model!$B$14)*$A22/1000000</f>
        <v/>
      </c>
    </row>
    <row r="23">
      <c r="A23" s="44" t="n">
        <v>34</v>
      </c>
      <c r="B23" s="45">
        <f>(Model!$B$45*(1-B$16)+B$16*Model!$B$6+Model!$B$14)*$A23/1000000</f>
        <v/>
      </c>
      <c r="C23" s="45">
        <f>(Model!$B$45*(1-C$16)+C$16*Model!$B$6+Model!$B$14)*$A23/1000000</f>
        <v/>
      </c>
      <c r="D23" s="45">
        <f>(Model!$B$45*(1-D$16)+D$16*Model!$B$6+Model!$B$14)*$A23/1000000</f>
        <v/>
      </c>
      <c r="E23" s="45">
        <f>(Model!$B$45*(1-E$16)+E$16*Model!$B$6+Model!$B$14)*$A23/1000000</f>
        <v/>
      </c>
      <c r="F23" s="45">
        <f>(Model!$B$45*(1-F$16)+F$16*Model!$B$6+Model!$B$14)*$A23/1000000</f>
        <v/>
      </c>
      <c r="G23" s="45">
        <f>(Model!$B$45*(1-G$16)+G$16*Model!$B$6+Model!$B$14)*$A23/1000000</f>
        <v/>
      </c>
      <c r="H23" s="45">
        <f>(Model!$B$45*(1-H$16)+H$16*Model!$B$6+Model!$B$14)*$A23/1000000</f>
        <v/>
      </c>
    </row>
    <row r="26">
      <c r="A26" s="42" t="inlineStr">
        <is>
          <t>表 3 ｜ 相对传统均值年度金额差（万元/年，正=多花，按 1 亿片/年）</t>
        </is>
      </c>
    </row>
    <row r="27">
      <c r="A27" s="4" t="inlineStr">
        <is>
          <t>克重 \ 纤维价</t>
        </is>
      </c>
      <c r="B27" s="43" t="n">
        <v>19000</v>
      </c>
      <c r="C27" s="43" t="n">
        <v>19500</v>
      </c>
      <c r="D27" s="43" t="n">
        <v>20000</v>
      </c>
      <c r="E27" s="43" t="n">
        <v>20500</v>
      </c>
      <c r="F27" s="43" t="n">
        <v>21000</v>
      </c>
      <c r="G27" s="43" t="n">
        <v>21500</v>
      </c>
      <c r="H27" s="43" t="n">
        <v>22000</v>
      </c>
    </row>
    <row r="28">
      <c r="A28" s="44" t="n">
        <v>28</v>
      </c>
      <c r="B28" s="47">
        <f>(((Model!$B$45*(1-Model!$B$9)+Model!$B$9*B$27+Model!$B$14)*$A28/1000000)-Model!$B$17)*Model!$B$15*Model!$B$16*10000</f>
        <v/>
      </c>
      <c r="C28" s="47">
        <f>(((Model!$B$45*(1-Model!$B$9)+Model!$B$9*C$27+Model!$B$14)*$A28/1000000)-Model!$B$17)*Model!$B$15*Model!$B$16*10000</f>
        <v/>
      </c>
      <c r="D28" s="47">
        <f>(((Model!$B$45*(1-Model!$B$9)+Model!$B$9*D$27+Model!$B$14)*$A28/1000000)-Model!$B$17)*Model!$B$15*Model!$B$16*10000</f>
        <v/>
      </c>
      <c r="E28" s="47">
        <f>(((Model!$B$45*(1-Model!$B$9)+Model!$B$9*E$27+Model!$B$14)*$A28/1000000)-Model!$B$17)*Model!$B$15*Model!$B$16*10000</f>
        <v/>
      </c>
      <c r="F28" s="47">
        <f>(((Model!$B$45*(1-Model!$B$9)+Model!$B$9*F$27+Model!$B$14)*$A28/1000000)-Model!$B$17)*Model!$B$15*Model!$B$16*10000</f>
        <v/>
      </c>
      <c r="G28" s="47">
        <f>(((Model!$B$45*(1-Model!$B$9)+Model!$B$9*G$27+Model!$B$14)*$A28/1000000)-Model!$B$17)*Model!$B$15*Model!$B$16*10000</f>
        <v/>
      </c>
      <c r="H28" s="47">
        <f>(((Model!$B$45*(1-Model!$B$9)+Model!$B$9*H$27+Model!$B$14)*$A28/1000000)-Model!$B$17)*Model!$B$15*Model!$B$16*10000</f>
        <v/>
      </c>
    </row>
    <row r="29">
      <c r="A29" s="44" t="n">
        <v>29</v>
      </c>
      <c r="B29" s="47">
        <f>(((Model!$B$45*(1-Model!$B$9)+Model!$B$9*B$27+Model!$B$14)*$A29/1000000)-Model!$B$17)*Model!$B$15*Model!$B$16*10000</f>
        <v/>
      </c>
      <c r="C29" s="47">
        <f>(((Model!$B$45*(1-Model!$B$9)+Model!$B$9*C$27+Model!$B$14)*$A29/1000000)-Model!$B$17)*Model!$B$15*Model!$B$16*10000</f>
        <v/>
      </c>
      <c r="D29" s="47">
        <f>(((Model!$B$45*(1-Model!$B$9)+Model!$B$9*D$27+Model!$B$14)*$A29/1000000)-Model!$B$17)*Model!$B$15*Model!$B$16*10000</f>
        <v/>
      </c>
      <c r="E29" s="47">
        <f>(((Model!$B$45*(1-Model!$B$9)+Model!$B$9*E$27+Model!$B$14)*$A29/1000000)-Model!$B$17)*Model!$B$15*Model!$B$16*10000</f>
        <v/>
      </c>
      <c r="F29" s="47">
        <f>(((Model!$B$45*(1-Model!$B$9)+Model!$B$9*F$27+Model!$B$14)*$A29/1000000)-Model!$B$17)*Model!$B$15*Model!$B$16*10000</f>
        <v/>
      </c>
      <c r="G29" s="47">
        <f>(((Model!$B$45*(1-Model!$B$9)+Model!$B$9*G$27+Model!$B$14)*$A29/1000000)-Model!$B$17)*Model!$B$15*Model!$B$16*10000</f>
        <v/>
      </c>
      <c r="H29" s="47">
        <f>(((Model!$B$45*(1-Model!$B$9)+Model!$B$9*H$27+Model!$B$14)*$A29/1000000)-Model!$B$17)*Model!$B$15*Model!$B$16*10000</f>
        <v/>
      </c>
    </row>
    <row r="30">
      <c r="A30" s="44" t="n">
        <v>30</v>
      </c>
      <c r="B30" s="47">
        <f>(((Model!$B$45*(1-Model!$B$9)+Model!$B$9*B$27+Model!$B$14)*$A30/1000000)-Model!$B$17)*Model!$B$15*Model!$B$16*10000</f>
        <v/>
      </c>
      <c r="C30" s="47">
        <f>(((Model!$B$45*(1-Model!$B$9)+Model!$B$9*C$27+Model!$B$14)*$A30/1000000)-Model!$B$17)*Model!$B$15*Model!$B$16*10000</f>
        <v/>
      </c>
      <c r="D30" s="47">
        <f>(((Model!$B$45*(1-Model!$B$9)+Model!$B$9*D$27+Model!$B$14)*$A30/1000000)-Model!$B$17)*Model!$B$15*Model!$B$16*10000</f>
        <v/>
      </c>
      <c r="E30" s="47">
        <f>(((Model!$B$45*(1-Model!$B$9)+Model!$B$9*E$27+Model!$B$14)*$A30/1000000)-Model!$B$17)*Model!$B$15*Model!$B$16*10000</f>
        <v/>
      </c>
      <c r="F30" s="47">
        <f>(((Model!$B$45*(1-Model!$B$9)+Model!$B$9*F$27+Model!$B$14)*$A30/1000000)-Model!$B$17)*Model!$B$15*Model!$B$16*10000</f>
        <v/>
      </c>
      <c r="G30" s="47">
        <f>(((Model!$B$45*(1-Model!$B$9)+Model!$B$9*G$27+Model!$B$14)*$A30/1000000)-Model!$B$17)*Model!$B$15*Model!$B$16*10000</f>
        <v/>
      </c>
      <c r="H30" s="47">
        <f>(((Model!$B$45*(1-Model!$B$9)+Model!$B$9*H$27+Model!$B$14)*$A30/1000000)-Model!$B$17)*Model!$B$15*Model!$B$16*10000</f>
        <v/>
      </c>
    </row>
    <row r="31">
      <c r="A31" s="44" t="n">
        <v>31</v>
      </c>
      <c r="B31" s="47">
        <f>(((Model!$B$45*(1-Model!$B$9)+Model!$B$9*B$27+Model!$B$14)*$A31/1000000)-Model!$B$17)*Model!$B$15*Model!$B$16*10000</f>
        <v/>
      </c>
      <c r="C31" s="47">
        <f>(((Model!$B$45*(1-Model!$B$9)+Model!$B$9*C$27+Model!$B$14)*$A31/1000000)-Model!$B$17)*Model!$B$15*Model!$B$16*10000</f>
        <v/>
      </c>
      <c r="D31" s="47">
        <f>(((Model!$B$45*(1-Model!$B$9)+Model!$B$9*D$27+Model!$B$14)*$A31/1000000)-Model!$B$17)*Model!$B$15*Model!$B$16*10000</f>
        <v/>
      </c>
      <c r="E31" s="47">
        <f>(((Model!$B$45*(1-Model!$B$9)+Model!$B$9*E$27+Model!$B$14)*$A31/1000000)-Model!$B$17)*Model!$B$15*Model!$B$16*10000</f>
        <v/>
      </c>
      <c r="F31" s="47">
        <f>(((Model!$B$45*(1-Model!$B$9)+Model!$B$9*F$27+Model!$B$14)*$A31/1000000)-Model!$B$17)*Model!$B$15*Model!$B$16*10000</f>
        <v/>
      </c>
      <c r="G31" s="47">
        <f>(((Model!$B$45*(1-Model!$B$9)+Model!$B$9*G$27+Model!$B$14)*$A31/1000000)-Model!$B$17)*Model!$B$15*Model!$B$16*10000</f>
        <v/>
      </c>
      <c r="H31" s="47">
        <f>(((Model!$B$45*(1-Model!$B$9)+Model!$B$9*H$27+Model!$B$14)*$A31/1000000)-Model!$B$17)*Model!$B$15*Model!$B$16*10000</f>
        <v/>
      </c>
    </row>
    <row r="32">
      <c r="A32" s="44" t="n">
        <v>32</v>
      </c>
      <c r="B32" s="47">
        <f>(((Model!$B$45*(1-Model!$B$9)+Model!$B$9*B$27+Model!$B$14)*$A32/1000000)-Model!$B$17)*Model!$B$15*Model!$B$16*10000</f>
        <v/>
      </c>
      <c r="C32" s="47">
        <f>(((Model!$B$45*(1-Model!$B$9)+Model!$B$9*C$27+Model!$B$14)*$A32/1000000)-Model!$B$17)*Model!$B$15*Model!$B$16*10000</f>
        <v/>
      </c>
      <c r="D32" s="47">
        <f>(((Model!$B$45*(1-Model!$B$9)+Model!$B$9*D$27+Model!$B$14)*$A32/1000000)-Model!$B$17)*Model!$B$15*Model!$B$16*10000</f>
        <v/>
      </c>
      <c r="E32" s="47">
        <f>(((Model!$B$45*(1-Model!$B$9)+Model!$B$9*E$27+Model!$B$14)*$A32/1000000)-Model!$B$17)*Model!$B$15*Model!$B$16*10000</f>
        <v/>
      </c>
      <c r="F32" s="47">
        <f>(((Model!$B$45*(1-Model!$B$9)+Model!$B$9*F$27+Model!$B$14)*$A32/1000000)-Model!$B$17)*Model!$B$15*Model!$B$16*10000</f>
        <v/>
      </c>
      <c r="G32" s="47">
        <f>(((Model!$B$45*(1-Model!$B$9)+Model!$B$9*G$27+Model!$B$14)*$A32/1000000)-Model!$B$17)*Model!$B$15*Model!$B$16*10000</f>
        <v/>
      </c>
      <c r="H32" s="47">
        <f>(((Model!$B$45*(1-Model!$B$9)+Model!$B$9*H$27+Model!$B$14)*$A32/1000000)-Model!$B$17)*Model!$B$15*Model!$B$16*10000</f>
        <v/>
      </c>
    </row>
    <row r="33">
      <c r="A33" s="44" t="n">
        <v>33</v>
      </c>
      <c r="B33" s="47">
        <f>(((Model!$B$45*(1-Model!$B$9)+Model!$B$9*B$27+Model!$B$14)*$A33/1000000)-Model!$B$17)*Model!$B$15*Model!$B$16*10000</f>
        <v/>
      </c>
      <c r="C33" s="47">
        <f>(((Model!$B$45*(1-Model!$B$9)+Model!$B$9*C$27+Model!$B$14)*$A33/1000000)-Model!$B$17)*Model!$B$15*Model!$B$16*10000</f>
        <v/>
      </c>
      <c r="D33" s="47">
        <f>(((Model!$B$45*(1-Model!$B$9)+Model!$B$9*D$27+Model!$B$14)*$A33/1000000)-Model!$B$17)*Model!$B$15*Model!$B$16*10000</f>
        <v/>
      </c>
      <c r="E33" s="47">
        <f>(((Model!$B$45*(1-Model!$B$9)+Model!$B$9*E$27+Model!$B$14)*$A33/1000000)-Model!$B$17)*Model!$B$15*Model!$B$16*10000</f>
        <v/>
      </c>
      <c r="F33" s="47">
        <f>(((Model!$B$45*(1-Model!$B$9)+Model!$B$9*F$27+Model!$B$14)*$A33/1000000)-Model!$B$17)*Model!$B$15*Model!$B$16*10000</f>
        <v/>
      </c>
      <c r="G33" s="47">
        <f>(((Model!$B$45*(1-Model!$B$9)+Model!$B$9*G$27+Model!$B$14)*$A33/1000000)-Model!$B$17)*Model!$B$15*Model!$B$16*10000</f>
        <v/>
      </c>
      <c r="H33" s="47">
        <f>(((Model!$B$45*(1-Model!$B$9)+Model!$B$9*H$27+Model!$B$14)*$A33/1000000)-Model!$B$17)*Model!$B$15*Model!$B$16*10000</f>
        <v/>
      </c>
    </row>
    <row r="34">
      <c r="A34" s="44" t="n">
        <v>34</v>
      </c>
      <c r="B34" s="47">
        <f>(((Model!$B$45*(1-Model!$B$9)+Model!$B$9*B$27+Model!$B$14)*$A34/1000000)-Model!$B$17)*Model!$B$15*Model!$B$16*10000</f>
        <v/>
      </c>
      <c r="C34" s="47">
        <f>(((Model!$B$45*(1-Model!$B$9)+Model!$B$9*C$27+Model!$B$14)*$A34/1000000)-Model!$B$17)*Model!$B$15*Model!$B$16*10000</f>
        <v/>
      </c>
      <c r="D34" s="47">
        <f>(((Model!$B$45*(1-Model!$B$9)+Model!$B$9*D$27+Model!$B$14)*$A34/1000000)-Model!$B$17)*Model!$B$15*Model!$B$16*10000</f>
        <v/>
      </c>
      <c r="E34" s="47">
        <f>(((Model!$B$45*(1-Model!$B$9)+Model!$B$9*E$27+Model!$B$14)*$A34/1000000)-Model!$B$17)*Model!$B$15*Model!$B$16*10000</f>
        <v/>
      </c>
      <c r="F34" s="47">
        <f>(((Model!$B$45*(1-Model!$B$9)+Model!$B$9*F$27+Model!$B$14)*$A34/1000000)-Model!$B$17)*Model!$B$15*Model!$B$16*10000</f>
        <v/>
      </c>
      <c r="G34" s="47">
        <f>(((Model!$B$45*(1-Model!$B$9)+Model!$B$9*G$27+Model!$B$14)*$A34/1000000)-Model!$B$17)*Model!$B$15*Model!$B$16*10000</f>
        <v/>
      </c>
      <c r="H34" s="47">
        <f>(((Model!$B$45*(1-Model!$B$9)+Model!$B$9*H$27+Model!$B$14)*$A34/1000000)-Model!$B$17)*Model!$B$15*Model!$B$16*10000</f>
        <v/>
      </c>
    </row>
  </sheetData>
  <mergeCells count="2">
    <mergeCell ref="A1:I1"/>
    <mergeCell ref="A2:I2"/>
  </mergeCells>
  <conditionalFormatting sqref="B6:H12">
    <cfRule type="cellIs" priority="1" operator="lessThan" dxfId="0">
      <formula>Model!$B$17</formula>
    </cfRule>
    <cfRule type="cellIs" priority="2" operator="greaterThan" dxfId="1">
      <formula>Model!$B$17</formula>
    </cfRule>
  </conditionalFormatting>
  <conditionalFormatting sqref="B17:H23">
    <cfRule type="cellIs" priority="3" operator="lessThan" dxfId="0">
      <formula>Model!$B$17</formula>
    </cfRule>
    <cfRule type="cellIs" priority="4" operator="greaterThan" dxfId="1">
      <formula>Model!$B$17</formula>
    </cfRule>
  </conditionalFormatting>
  <conditionalFormatting sqref="B28:H34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</cols>
  <sheetData>
    <row r="1" ht="34" customHeight="1">
      <c r="A1" s="1" t="inlineStr">
        <is>
          <t>价格假设与口径说明</t>
        </is>
      </c>
    </row>
    <row r="2" ht="20" customHeight="1">
      <c r="A2" s="2" t="inlineStr">
        <is>
          <t>所有价格为含税到厂口径；标注【待核】项在定稿前需供应商书面确认</t>
        </is>
      </c>
    </row>
    <row r="4" ht="28" customHeight="1">
      <c r="A4" s="4" t="inlineStr">
        <is>
          <t>项目</t>
        </is>
      </c>
      <c r="B4" s="4" t="inlineStr">
        <is>
          <t>数值</t>
        </is>
      </c>
      <c r="C4" s="4" t="inlineStr">
        <is>
          <t>单位</t>
        </is>
      </c>
      <c r="D4" s="4" t="inlineStr">
        <is>
          <t>来源 / 说明</t>
        </is>
      </c>
    </row>
    <row r="5">
      <c r="A5" s="8" t="inlineStr">
        <is>
          <t>PTT/PET S/S 纤维</t>
        </is>
      </c>
      <c r="B5" s="48" t="n">
        <v>20500</v>
      </c>
      <c r="C5" s="20" t="inlineStr">
        <is>
          <t>元/t</t>
        </is>
      </c>
      <c r="D5" s="8" t="inlineStr">
        <is>
          <t>恒碳千吨级交底 20,000–21,000；26,000 系小样价不适用</t>
        </is>
      </c>
    </row>
    <row r="6">
      <c r="A6" s="49" t="inlineStr">
        <is>
          <t xml:space="preserve">  └ 价格拆解</t>
        </is>
      </c>
      <c r="B6" s="50" t="inlineStr">
        <is>
          <t>—</t>
        </is>
      </c>
      <c r="C6" s="23" t="inlineStr">
        <is>
          <t>—</t>
        </is>
      </c>
      <c r="D6" s="49" t="inlineStr">
        <is>
          <t>PTT 18,000×50% + PET 8,600×50% + 纺丝 4,000 + 成品率 94–95% + 运输 400 + 溢价 1,500–2,500</t>
        </is>
      </c>
    </row>
    <row r="7">
      <c r="A7" s="8" t="inlineStr">
        <is>
          <t>PTT 切片（1,500t 口径）</t>
        </is>
      </c>
      <c r="B7" s="48" t="n">
        <v>18000</v>
      </c>
      <c r="C7" s="20" t="inlineStr">
        <is>
          <t>元/t</t>
        </is>
      </c>
      <c r="D7" s="8" t="inlineStr">
        <is>
          <t>会议口径；油价回落至 5,500 时可至 17,000</t>
        </is>
      </c>
    </row>
    <row r="8">
      <c r="A8" s="8" t="inlineStr">
        <is>
          <t>PTA</t>
        </is>
      </c>
      <c r="B8" s="48" t="n">
        <v>6800</v>
      </c>
      <c r="C8" s="20" t="inlineStr">
        <is>
          <t>元/t</t>
        </is>
      </c>
      <c r="D8" s="8" t="inlineStr">
        <is>
          <t>会议口径，高油价时期价格</t>
        </is>
      </c>
    </row>
    <row r="9">
      <c r="A9" s="8" t="inlineStr">
        <is>
          <t>PET 纤维级半光切片</t>
        </is>
      </c>
      <c r="B9" s="48" t="n">
        <v>8600</v>
      </c>
      <c r="C9" s="20" t="inlineStr">
        <is>
          <t>元/t</t>
        </is>
      </c>
      <c r="D9" s="8" t="inlineStr">
        <is>
          <t>10/15 华东主流商谈 8,500–8,800，自提</t>
        </is>
      </c>
    </row>
    <row r="10">
      <c r="A10" s="8" t="inlineStr">
        <is>
          <t>PET 单组分短纤</t>
        </is>
      </c>
      <c r="B10" s="48" t="n">
        <v>9100</v>
      </c>
      <c r="C10" s="20" t="inlineStr">
        <is>
          <t>元/t</t>
        </is>
      </c>
      <c r="D10" s="8" t="inlineStr">
        <is>
          <t>10/16 直纺基准 8,930；10/19 品牌 9,250–9,400</t>
        </is>
      </c>
    </row>
    <row r="11">
      <c r="A11" s="8" t="inlineStr">
        <is>
          <t>ES CoPET/PET 2D/3D</t>
        </is>
      </c>
      <c r="B11" s="48" t="n">
        <v>11600</v>
      </c>
      <c r="C11" s="20" t="inlineStr">
        <is>
          <t>元/t</t>
        </is>
      </c>
      <c r="D11" s="8" t="inlineStr">
        <is>
          <t>卫材级复合短纤，江南高纤均价折算</t>
        </is>
      </c>
    </row>
    <row r="12">
      <c r="A12" s="8" t="inlineStr">
        <is>
          <t>偏心中空 ES</t>
        </is>
      </c>
      <c r="B12" s="48" t="n">
        <v>13500</v>
      </c>
      <c r="C12" s="20" t="inlineStr">
        <is>
          <t>元/t</t>
        </is>
      </c>
      <c r="D12" s="8" t="inlineStr">
        <is>
          <t>【待核】原生中空 7D 10,100–10,200 + ES 皮芯溢价</t>
        </is>
      </c>
    </row>
    <row r="13">
      <c r="A13" s="8" t="inlineStr">
        <is>
          <t>PVA 水不溶 6D</t>
        </is>
      </c>
      <c r="B13" s="48" t="n">
        <v>20000</v>
      </c>
      <c r="C13" s="20" t="inlineStr">
        <is>
          <t>元/t</t>
        </is>
      </c>
      <c r="D13" s="8" t="inlineStr">
        <is>
          <t>皖维高新报价</t>
        </is>
      </c>
    </row>
    <row r="14">
      <c r="A14" s="8" t="inlineStr">
        <is>
          <t>加工费（ATB）</t>
        </is>
      </c>
      <c r="B14" s="48" t="n">
        <v>4500</v>
      </c>
      <c r="C14" s="20" t="inlineStr">
        <is>
          <t>元/t</t>
        </is>
      </c>
      <c r="D14" s="8" t="inlineStr">
        <is>
          <t>热风粘合 + 分切，含能耗与人工</t>
        </is>
      </c>
    </row>
    <row r="15">
      <c r="A15" s="8" t="inlineStr">
        <is>
          <t>复合纺丝费（双组份）</t>
        </is>
      </c>
      <c r="B15" s="48" t="n">
        <v>4000</v>
      </c>
      <c r="C15" s="20" t="inlineStr">
        <is>
          <t>元/t</t>
        </is>
      </c>
      <c r="D15" s="8" t="inlineStr">
        <is>
          <t>会议口径「4,000 多元」，普通短纤仅 900–1,000</t>
        </is>
      </c>
    </row>
    <row r="16">
      <c r="A16" s="8" t="inlineStr">
        <is>
          <t>成品率</t>
        </is>
      </c>
      <c r="B16" s="51" t="inlineStr">
        <is>
          <t>94–95%</t>
        </is>
      </c>
      <c r="C16" s="20" t="inlineStr">
        <is>
          <t>—</t>
        </is>
      </c>
      <c r="D16" s="8" t="inlineStr">
        <is>
          <t>会议口径</t>
        </is>
      </c>
    </row>
    <row r="17">
      <c r="A17" s="8" t="inlineStr">
        <is>
          <t>单片面积</t>
        </is>
      </c>
      <c r="B17" s="52" t="n">
        <v>0.038</v>
      </c>
      <c r="C17" s="20" t="inlineStr">
        <is>
          <t>m²</t>
        </is>
      </c>
      <c r="D17" s="8" t="inlineStr">
        <is>
          <t>约 100×380mm，按实际规格调整</t>
        </is>
      </c>
    </row>
    <row r="18">
      <c r="A18" s="8" t="inlineStr">
        <is>
          <t>年产量</t>
        </is>
      </c>
      <c r="B18" s="52" t="n">
        <v>1</v>
      </c>
      <c r="C18" s="20" t="inlineStr">
        <is>
          <t>亿片</t>
        </is>
      </c>
      <c r="D18" s="8" t="inlineStr">
        <is>
          <t>用于年度金额换算</t>
        </is>
      </c>
    </row>
    <row r="19">
      <c r="A19" s="8" t="inlineStr">
        <is>
          <t>设计克重</t>
        </is>
      </c>
      <c r="B19" s="52" t="n">
        <v>28.8</v>
      </c>
      <c r="C19" s="20" t="inlineStr">
        <is>
          <t>gsm</t>
        </is>
      </c>
      <c r="D19" s="8" t="inlineStr">
        <is>
          <t>Code A 实测；标称 28gsm</t>
        </is>
      </c>
    </row>
    <row r="20">
      <c r="A20" s="8" t="inlineStr">
        <is>
          <t>实际成网克重</t>
        </is>
      </c>
      <c r="B20" s="52" t="n">
        <v>33</v>
      </c>
      <c r="C20" s="20" t="inlineStr">
        <is>
          <t>gsm</t>
        </is>
      </c>
      <c r="D20" s="8" t="inlineStr">
        <is>
          <t>会议：布 28–29gsm 到工厂回缩至 33gsm</t>
        </is>
      </c>
    </row>
    <row r="21">
      <c r="A21" s="8" t="inlineStr">
        <is>
          <t>PTT 添加比例</t>
        </is>
      </c>
      <c r="B21" s="51" t="inlineStr">
        <is>
          <t>22%</t>
        </is>
      </c>
      <c r="C21" s="20" t="inlineStr">
        <is>
          <t>%</t>
        </is>
      </c>
      <c r="D21" s="8" t="inlineStr">
        <is>
          <t>会议确认，10–30% 合理；超 30% 骨感差</t>
        </is>
      </c>
    </row>
    <row r="22">
      <c r="A22" s="8" t="inlineStr">
        <is>
          <t>传统 40gsm 均值</t>
        </is>
      </c>
      <c r="B22" s="52" t="n">
        <v>0.5775</v>
      </c>
      <c r="C22" s="20" t="inlineStr">
        <is>
          <t>元/m²</t>
        </is>
      </c>
      <c r="D22" s="8" t="inlineStr">
        <is>
          <t>YJ/DY/ZB/藤东 四基线，PET 短纤按 9,100 计</t>
        </is>
      </c>
    </row>
    <row r="24">
      <c r="A24" s="53" t="inlineStr">
        <is>
          <t>未含项：3–5% 工艺损耗、分切废料、打样摊销、关税与认证（ISCC 等）单独费用。</t>
        </is>
      </c>
    </row>
  </sheetData>
  <mergeCells count="3">
    <mergeCell ref="A1:D1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2026-10-23T13:37:57Z</dcterms:created>
  <dcterms:modified xmlns:dcterms="http://purl.org/dc/terms/" xmlns:xsi="http://www.w3.org/2001/XMLSchema-instance" xsi:type="dcterms:W3CDTF">2026-10-23T13:37:57Z</dcterms:modified>
</cp:coreProperties>
</file>